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  <Override PartName="/xl/worksheets/sheet30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sheets/sheet21.xml" ContentType="application/vnd.openxmlformats-officedocument.spreadsheetml.worksheet+xml"/>
  <Override PartName="/xl/worksheets/sheet7.xml" ContentType="application/vnd.openxmlformats-officedocument.spreadsheetml.worksheet+xml"/>
  <Override PartName="/xl/worksheets/sheet29.xml" ContentType="application/vnd.openxmlformats-officedocument.spreadsheetml.worksheet+xml"/>
  <Override PartName="/xl/worksheets/sheet27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28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31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26.xml" ContentType="application/vnd.openxmlformats-officedocument.spreadsheetml.workshee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5.xml" ContentType="application/vnd.openxmlformats-officedocument.spreadsheetml.worksheet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主题域" sheetId="1" r:id="rId3"/>
    <sheet name="实体列表" sheetId="2" r:id="rId4"/>
    <sheet name="表信息" sheetId="3" r:id="rId5"/>
    <sheet name="eqp" sheetId="4" r:id="rId6"/>
    <sheet name="defect" sheetId="5" r:id="rId7"/>
    <sheet name="flow of product" sheetId="6" r:id="rId8"/>
    <sheet name="step of flow" sheetId="7" r:id="rId9"/>
    <sheet name="item of chamber" sheetId="8" r:id="rId10"/>
    <sheet name="step of chamber" sheetId="9" r:id="rId11"/>
    <sheet name="wat item" sheetId="10" r:id="rId12"/>
    <sheet name="metro item" sheetId="11" r:id="rId13"/>
    <sheet name="cp " sheetId="12" r:id="rId14"/>
    <sheet name="mat" sheetId="13" r:id="rId15"/>
    <sheet name="lot" sheetId="14" r:id="rId16"/>
    <sheet name="chart limit" sheetId="15" r:id="rId17"/>
    <sheet name="defect library" sheetId="16" r:id="rId18"/>
    <sheet name="part  library" sheetId="17" r:id="rId19"/>
    <sheet name="dn case history" sheetId="18" r:id="rId20"/>
    <sheet name="defect bin of chamber" sheetId="19" r:id="rId21"/>
    <sheet name="wat detail" sheetId="20" r:id="rId22"/>
    <sheet name="metro detail " sheetId="21" r:id="rId23"/>
    <sheet name="metro config detail" sheetId="22" r:id="rId24"/>
    <sheet name="cp detail" sheetId="23" r:id="rId25"/>
    <sheet name="defect detail" sheetId="24" r:id="rId26"/>
    <sheet name="qtime detail" sheetId="25" r:id="rId27"/>
    <sheet name="wafer" sheetId="26" r:id="rId28"/>
    <sheet name="pm detail" sheetId="27" r:id="rId29"/>
    <sheet name="eqp detail" sheetId="28" r:id="rId30"/>
    <sheet name="wafer detail" sheetId="29" r:id="rId31"/>
    <sheet name="wafer_因子聚合" sheetId="30" r:id="rId32"/>
    <sheet name="Wafer聚合" sheetId="31" r:id="rId33"/>
  </sheets>
  <calcPr/>
</workbook>
</file>

<file path=xl/sharedStrings.xml><?xml version="1.0" encoding="utf-8"?>
<sst xmlns="http://schemas.openxmlformats.org/spreadsheetml/2006/main" count="3228" uniqueCount="3228">
  <si>
    <t/>
  </si>
  <si>
    <t>来源表</t>
  </si>
  <si>
    <t>来源字段</t>
  </si>
  <si>
    <t>字段描述</t>
  </si>
  <si>
    <t>特征名称</t>
  </si>
  <si>
    <t>特征编码</t>
  </si>
  <si>
    <t>数据类型</t>
  </si>
  <si>
    <t>特征类型</t>
  </si>
  <si>
    <t>表名</t>
  </si>
  <si>
    <t>备注</t>
  </si>
  <si>
    <t>唯一记录ID</t>
  </si>
  <si>
    <t>unique_record_id</t>
  </si>
  <si>
    <t>varchar(100)</t>
  </si>
  <si>
    <t>维表特征</t>
  </si>
  <si>
    <t>ads_ffs_boc_dim_rt</t>
  </si>
  <si>
    <t>记录ID</t>
  </si>
  <si>
    <t>record_id</t>
  </si>
  <si>
    <t>DWS_DEFECT_BIN_SCAN_PROD_DETAIL_MID_INCR</t>
  </si>
  <si>
    <t>全维度MD5</t>
  </si>
  <si>
    <t>事实表特征</t>
  </si>
  <si>
    <t>ads_ffs_feature_fact_dboc_rti</t>
  </si>
  <si>
    <t>MD5(CONCAT(...全维度)) AS `unique_record_id#v1`,</t>
  </si>
  <si>
    <t>数据业务时间戳</t>
  </si>
  <si>
    <t>_biz_ts_</t>
  </si>
  <si>
    <t>bigint</t>
  </si>
  <si>
    <t>AS `_biz_ts_#v1`,  -- 来源表达式待业务确认</t>
  </si>
  <si>
    <t>FAB</t>
  </si>
  <si>
    <t>fab厂代号</t>
  </si>
  <si>
    <t>厂区编码</t>
  </si>
  <si>
    <t>fac_code</t>
  </si>
  <si>
    <t>FAB AS `fac_code#v1`,</t>
  </si>
  <si>
    <t>FAB_SITE</t>
  </si>
  <si>
    <t>厂区</t>
  </si>
  <si>
    <t>厂区site</t>
  </si>
  <si>
    <t>fac_site</t>
  </si>
  <si>
    <t>COALESCE(FAB_SITE,' ') AS `fac_site#v1`,</t>
  </si>
  <si>
    <t>PRODUCT_ID</t>
  </si>
  <si>
    <t>产品ID，全位产品</t>
  </si>
  <si>
    <t>所属产品</t>
  </si>
  <si>
    <t>product_code</t>
  </si>
  <si>
    <t>PRODUCT_ID AS `product_code#v1`,</t>
  </si>
  <si>
    <t>FLOW_ID</t>
  </si>
  <si>
    <t>流程ID</t>
  </si>
  <si>
    <t>所属flow</t>
  </si>
  <si>
    <t>flow_code</t>
  </si>
  <si>
    <t>FLOW_ID AS `flow_code#v1`,</t>
  </si>
  <si>
    <t>PROC_STEP_NUM</t>
  </si>
  <si>
    <t>加工STEP编号（配置映射）</t>
  </si>
  <si>
    <t>所属加工step</t>
  </si>
  <si>
    <t>proc_step_code</t>
  </si>
  <si>
    <t>PROC_STEP_NUM AS `proc_step_code#v1`,</t>
  </si>
  <si>
    <t>SCAN_STEP_NUM</t>
  </si>
  <si>
    <t>SCAN STEP编号（WIP履历）</t>
  </si>
  <si>
    <t>所属扫描step</t>
  </si>
  <si>
    <t>scan_step_code</t>
  </si>
  <si>
    <t>SCAN_STEP_NUM AS `scan_step_code#v1`,</t>
  </si>
  <si>
    <t>固定Defect</t>
  </si>
  <si>
    <t>设置类型</t>
  </si>
  <si>
    <t>setting_type</t>
  </si>
  <si>
    <t>'Defect' AS `setting_type#v1`,</t>
  </si>
  <si>
    <t>BIN_TYPE</t>
  </si>
  <si>
    <t>bin type（如CLASSNUMBER）</t>
  </si>
  <si>
    <t>分类类型</t>
  </si>
  <si>
    <t>class_type</t>
  </si>
  <si>
    <t>事实表特征【新增维度】</t>
  </si>
  <si>
    <t>BIN_TYPE AS `class_type#v1`,</t>
  </si>
  <si>
    <t>BIN_NUMBER</t>
  </si>
  <si>
    <t>class number</t>
  </si>
  <si>
    <t>分类编号</t>
  </si>
  <si>
    <t>class_num</t>
  </si>
  <si>
    <t>BIN_NUMBER AS `class_num#v1`,</t>
  </si>
  <si>
    <t>BIN_NAME</t>
  </si>
  <si>
    <t>class具体含义</t>
  </si>
  <si>
    <t>分类名称</t>
  </si>
  <si>
    <t>class_name</t>
  </si>
  <si>
    <t>BIN_NAME AS `class_name#v1`,</t>
  </si>
  <si>
    <t>PROC_EQP_ID</t>
  </si>
  <si>
    <t>加工机台ID</t>
  </si>
  <si>
    <t>所属加工机台</t>
  </si>
  <si>
    <t>proc_eqp_code</t>
  </si>
  <si>
    <t>COALESCE(PROC_EQP_ID,'') AS `proc_eqp_code#v1`,</t>
  </si>
  <si>
    <t>PROC_CHA_ID</t>
  </si>
  <si>
    <t>加工CHAMBER ID（多chamber拆行后单腔体）</t>
  </si>
  <si>
    <t>所属加工腔室</t>
  </si>
  <si>
    <t>proc_cha_code</t>
  </si>
  <si>
    <t>varchar(500)</t>
  </si>
  <si>
    <t>事实表特征【拆行】</t>
  </si>
  <si>
    <t>CHA_SINGLE AS `proc_cha_code#v1`,  -- LATERAL VIEW OUTER EXPLODE拆行</t>
  </si>
  <si>
    <t>优先腔体，无腔体取机台</t>
  </si>
  <si>
    <t>NC名称</t>
  </si>
  <si>
    <t>nc_name</t>
  </si>
  <si>
    <t>COALESCE(CHA_SINGLE,PROC_EQP_ID) AS `nc_name#v1`,</t>
  </si>
  <si>
    <t>有腔体=CHA，否则=EQP</t>
  </si>
  <si>
    <t>NC类型</t>
  </si>
  <si>
    <t>nc_type</t>
  </si>
  <si>
    <t>IF(CHA_SINGLE IS NOT NULL,'CHA','EQP') AS `nc_type#v1`,</t>
  </si>
  <si>
    <t>BIN_NDEFECT</t>
  </si>
  <si>
    <t>近7天平均缺陷数</t>
  </si>
  <si>
    <t>ndefect_mean_7d</t>
  </si>
  <si>
    <t>double</t>
  </si>
  <si>
    <t>聚合特征(7天窗口)</t>
  </si>
  <si>
    <t>AVG(BIN_NDEFECT) AS `ndefect_mean_7d#v1`,  -- DT-6~DT</t>
  </si>
  <si>
    <t>count(1)</t>
  </si>
  <si>
    <t>近7天扫描晶圆片数</t>
  </si>
  <si>
    <t>近7天扫描片数</t>
  </si>
  <si>
    <t>scan_wafer_count_7d</t>
  </si>
  <si>
    <t>COUNT(1) AS `scan_wafer_count_7d#v1`,  -- DT-6~DT</t>
  </si>
  <si>
    <t>当日缺陷总数（SUM共享后缺陷数）</t>
  </si>
  <si>
    <t>当日缺陷总数</t>
  </si>
  <si>
    <t>ndefect_sum_day</t>
  </si>
  <si>
    <t>聚合特征(当日)【新增】</t>
  </si>
  <si>
    <t>SUM(IF(DT='${bizDate}',BIN_NDEFECT,0)) AS `ndefect_sum_day#v1`,</t>
  </si>
  <si>
    <t>当日扫描晶圆片数</t>
  </si>
  <si>
    <t>当日扫描片数</t>
  </si>
  <si>
    <t>scan_wafer_count_day</t>
  </si>
  <si>
    <t>SUM(IF(DT='${bizDate}',1,0)) AS `scan_wafer_count_day#v1`,</t>
  </si>
  <si>
    <t>ETL处理时间</t>
  </si>
  <si>
    <t>处理时间</t>
  </si>
  <si>
    <t>proc_time</t>
  </si>
  <si>
    <t>datetime</t>
  </si>
  <si>
    <t>时间特征</t>
  </si>
  <si>
    <t>GETDATE() AS `proc_time#v1`,</t>
  </si>
  <si>
    <t>含义</t>
  </si>
  <si>
    <t>表类型</t>
  </si>
  <si>
    <t>主题域</t>
  </si>
  <si>
    <t>主题域描述</t>
  </si>
  <si>
    <t>实体名称</t>
  </si>
  <si>
    <t>特征数量</t>
  </si>
  <si>
    <t>ads_ffs_eqp_dim_rt</t>
  </si>
  <si>
    <t>机台信息</t>
  </si>
  <si>
    <t>特征维表</t>
  </si>
  <si>
    <t>eqp</t>
  </si>
  <si>
    <t>设备域</t>
  </si>
  <si>
    <t>ads_ffs_feature_fact_eqp_rti</t>
  </si>
  <si>
    <t>特征事实表</t>
  </si>
  <si>
    <t>ads_ffs_mat_dim_rt</t>
  </si>
  <si>
    <t>物料信息</t>
  </si>
  <si>
    <t>mat</t>
  </si>
  <si>
    <t>ads_ffs_feature_fact_mat_rti</t>
  </si>
  <si>
    <t>ads_ffs_fop_dim_rt</t>
  </si>
  <si>
    <t>product的flow信息</t>
  </si>
  <si>
    <t>wip</t>
  </si>
  <si>
    <t>生产域</t>
  </si>
  <si>
    <t>flow of product</t>
  </si>
  <si>
    <t>ads_ffs_sof_dim_rt</t>
  </si>
  <si>
    <t>flow的step信息</t>
  </si>
  <si>
    <t>step of flow</t>
  </si>
  <si>
    <t>ads_ffs_wafer_dim_rt</t>
  </si>
  <si>
    <t>晶圆信息</t>
  </si>
  <si>
    <t>wafer</t>
  </si>
  <si>
    <t>ads_ffs_feature_fact_wafer_rti</t>
  </si>
  <si>
    <t>ads_ffs_feature_fact_qtimed_rti</t>
  </si>
  <si>
    <t>qtime的明细信息</t>
  </si>
  <si>
    <t>qtime detail</t>
  </si>
  <si>
    <t>ads_ffs_defect_dim_rt</t>
  </si>
  <si>
    <t>缺陷分类信息</t>
  </si>
  <si>
    <t>qlt</t>
  </si>
  <si>
    <t>质量域</t>
  </si>
  <si>
    <t>defect</t>
  </si>
  <si>
    <t>ads_ffs_ioc_dim_rt</t>
  </si>
  <si>
    <t>chamber的item信息</t>
  </si>
  <si>
    <t>item of chamber</t>
  </si>
  <si>
    <t>ads_ffs_feature_fact_ioc_rti</t>
  </si>
  <si>
    <t>ads_ffs_soc_dim_rt</t>
  </si>
  <si>
    <t>chamber的step信息</t>
  </si>
  <si>
    <t>step of chamber</t>
  </si>
  <si>
    <t>ads_ffs_feature_fact_soc_rti</t>
  </si>
  <si>
    <t>ads_ffs_wat_dim_rt</t>
  </si>
  <si>
    <t>wat item信息</t>
  </si>
  <si>
    <t>wat item</t>
  </si>
  <si>
    <t>ads_ffs_metro_dim_rt</t>
  </si>
  <si>
    <t>metro  item信息</t>
  </si>
  <si>
    <t>metro item</t>
  </si>
  <si>
    <t>ads_ffs_cp_dim_rt</t>
  </si>
  <si>
    <t>cp分类信息</t>
  </si>
  <si>
    <t>cp</t>
  </si>
  <si>
    <t>ads_ffs_dl_dim_rt</t>
  </si>
  <si>
    <t>缺陷库配置信息</t>
  </si>
  <si>
    <t>defect library</t>
  </si>
  <si>
    <t>ads_ffs_feature_fact_dl_rti</t>
  </si>
  <si>
    <t>ads_ffs_dnch_dim_rt</t>
  </si>
  <si>
    <t>缺陷通知单信息</t>
  </si>
  <si>
    <t>dn case history</t>
  </si>
  <si>
    <t>ads_ffs_feature_fact_dnch_rti</t>
  </si>
  <si>
    <t>ads_ffs_feature_fact_watd_rti</t>
  </si>
  <si>
    <t>wat的明细信息</t>
  </si>
  <si>
    <t>wat detail</t>
  </si>
  <si>
    <t>ads_ffs_feature_fact_metrod_rti</t>
  </si>
  <si>
    <t>metro的明细信息</t>
  </si>
  <si>
    <t xml:space="preserve">metro detail </t>
  </si>
  <si>
    <t>ads_ffs_feature_fact_metrocd_rti</t>
  </si>
  <si>
    <t>metro的配置明细信息</t>
  </si>
  <si>
    <t>metro config detail</t>
  </si>
  <si>
    <t>ads_ffs_feature_fact_cpd_rti</t>
  </si>
  <si>
    <t>cp的明细信息</t>
  </si>
  <si>
    <t>cp detail</t>
  </si>
  <si>
    <t>ads_ffs_feature_fact_defectd_rti</t>
  </si>
  <si>
    <t>defect的扫描明细信息</t>
  </si>
  <si>
    <t>defect detail</t>
  </si>
  <si>
    <t>【汇总①】因子粒度 · 可复核层　主键：wafer_code + factor_code　　一片晶圆在某个扣分因子上的一行扣分账；一片最多 9 行（PRD 共 9 个因子）</t>
  </si>
  <si>
    <t>字段分组</t>
  </si>
  <si>
    <t>来源(业务域: 表.字段)</t>
  </si>
  <si>
    <t>特征描述</t>
  </si>
  <si>
    <t>使用模块</t>
  </si>
  <si>
    <t>需求来源</t>
  </si>
  <si>
    <t>spc</t>
  </si>
  <si>
    <t>ams</t>
  </si>
  <si>
    <t>pm</t>
  </si>
  <si>
    <t>rework</t>
  </si>
  <si>
    <t>qtime</t>
  </si>
  <si>
    <t>wat</t>
  </si>
  <si>
    <t>填充类数</t>
  </si>
  <si>
    <t>数据缺口</t>
  </si>
  <si>
    <t>待细沟通</t>
  </si>
  <si>
    <t>0 主键与快照</t>
  </si>
  <si>
    <t>主键</t>
  </si>
  <si>
    <t>唯一因子扣分编码</t>
  </si>
  <si>
    <t>id</t>
  </si>
  <si>
    <t>ads_ffs_feature_agg_wfresume_factor_rti</t>
  </si>
  <si>
    <t>技术字段</t>
  </si>
  <si>
    <t>MD5(wafer_code + factor_code)</t>
  </si>
  <si>
    <t>wafer resume 0.7</t>
  </si>
  <si>
    <t>新增</t>
  </si>
  <si>
    <t>日期</t>
  </si>
  <si>
    <t>分区日期</t>
  </si>
  <si>
    <t>dt</t>
  </si>
  <si>
    <t>★分区字段=重算批次日。PRD 定位为【单 Wafer 实时履历】(D-001)，查询即刷新、评分实时算，不存历史评分序列；按 dt 分区覆盖写，一天留一版即可。PRD 7.9.7 的「快照」只针对导出报告(固化 Trace ID 与配置版本)，属导出任务实体，不在本表</t>
  </si>
  <si>
    <t>模型版本</t>
  </si>
  <si>
    <t>评分模型版本</t>
  </si>
  <si>
    <t>model_ver</t>
  </si>
  <si>
    <t>健康评分，评分模型</t>
  </si>
  <si>
    <t>对应 Default Processing Wafer Score 及其版本号；配置变更需可溯源</t>
  </si>
  <si>
    <t>1 加工链路·WIP统一出口</t>
  </si>
  <si>
    <t>ads_ffs_feature_fact_wfresume_rti.wafer_code</t>
  </si>
  <si>
    <t>晶圆ID</t>
  </si>
  <si>
    <t>晶圆id</t>
  </si>
  <si>
    <t>wafer_code</t>
  </si>
  <si>
    <t>健康评分</t>
  </si>
  <si>
    <t>★联合主键之一</t>
  </si>
  <si>
    <t>4 判定与计算</t>
  </si>
  <si>
    <t>ads_ffs_feature_fact_wfresume_rti.factor_code</t>
  </si>
  <si>
    <t>扣分因子</t>
  </si>
  <si>
    <t>扣分因子编码</t>
  </si>
  <si>
    <t>factor_code</t>
  </si>
  <si>
    <t>健康评分，扣分详情</t>
  </si>
  <si>
    <t>★联合主键之一，12 条因子</t>
  </si>
  <si>
    <t>ads_ffs_feature_fact_wfresume_rti.event_category</t>
  </si>
  <si>
    <t>所属类别</t>
  </si>
  <si>
    <t>category</t>
  </si>
  <si>
    <t>健康评分，扣分贡献</t>
  </si>
  <si>
    <t>取自明细 event_category(6 类，D-012)，用于类别封顶计算。⚠不要取明细的 event_type——那是 9 值细粒度(AMS/PM 分开)，用它算类别封顶会把 TOOL 拆成两类</t>
  </si>
  <si>
    <t>ads_ffs_feature_fact_wfresume_rti.severity</t>
  </si>
  <si>
    <t>严重等级</t>
  </si>
  <si>
    <t>severity</t>
  </si>
  <si>
    <t>取该因子下明细的最高等级(MAX_SEVERITY)</t>
  </si>
  <si>
    <t>ads_ffs_feature_fact_wfresume_rti.hit_count</t>
  </si>
  <si>
    <t>命中次数</t>
  </si>
  <si>
    <t>hit_count</t>
  </si>
  <si>
    <t>int</t>
  </si>
  <si>
    <t>健康评分，扣分详情，异常详情</t>
  </si>
  <si>
    <t>★口径：SUM(明细.hit_count) GROUP BY wafer_code, factor_code。Q-Time 双模式只算 1 次不拆两行，拆了统计卡会翻倍(D-019)</t>
  </si>
  <si>
    <t>ads_ffs_feature_fact_wfresume_rti.event_id</t>
  </si>
  <si>
    <t>异常条数</t>
  </si>
  <si>
    <t>异常事件条数</t>
  </si>
  <si>
    <t>event_qty</t>
  </si>
  <si>
    <t>★= COUNT(明细) GROUP BY wafer_code, factor_code。⚠与 hit_count 不是一回事：hit_count 是【命中次数】进扣分公式，event_qty 是【异常条数】。二者数值可能相等但语义不同，不可互相顶替。★用途=对账锚点：②的 cnt_* 直连明细统计，本列使 SUM(event_qty) 可与 ②.cnt_total 比对，两条取数路径一旦漂移即可发现（不设此列，双上游的不一致将无从察觉）</t>
  </si>
  <si>
    <t>最终扣分</t>
  </si>
  <si>
    <t>capped_deduct</t>
  </si>
  <si>
    <t>★对应 PRD 7.3.6 扣分详情面板的【最终扣分】。= min(明细.unit_deduct × hit_count × 明细.severity_rate, 明细.factor_cap)；明细.factor_enabled 为否时记 0 但保留行（WR-105：数据未接入则不扣分并显示未接入）。
★不另落「截断前」列：PRD 未要求该字段，且它 = unit_deduct × hit_count × severity_rate，三个输入分别在明细与本层，要复核随时现算，落列即冗余。
★min() 必须在本层做：上限管的是「该因子在整片晶圆上的总扣分」。若在明细逐行截，10 条各 min(7.2,12)=7.2、求和 72，上限完全失效；先聚合成 hit_count=10 算出 72 再截才得 12（PRD 7.3.6「命中次数=当前 Wafer 当前因子命中次数」+ WR-102）。这就是 factor_cap 的【值】在明细、而 min 这个【动作】在本层的原因。
★配置项不落本层：它们在因子粒度上是常量非聚合值，留在明细；扣分详情面板需展示配置时按 wafer_code + factor_code 回明细取任一行即可</t>
  </si>
  <si>
    <t>类别封顶</t>
  </si>
  <si>
    <t>category_cap</t>
  </si>
  <si>
    <t>★聚合值 = SUM(明细.factor_cap) GROUP BY category，自动算出不手工填（PRD 7.3.5）</t>
  </si>
  <si>
    <t>6 功能性</t>
  </si>
  <si>
    <t>业务过程</t>
  </si>
  <si>
    <t>唯一wafer编码</t>
  </si>
  <si>
    <t>unique_wafer_code</t>
  </si>
  <si>
    <t xml:space="preserve"> AS `unique_wafer_code#v1`,</t>
  </si>
  <si>
    <t>Lot ID</t>
  </si>
  <si>
    <t>所属lot</t>
  </si>
  <si>
    <t>lot_code</t>
  </si>
  <si>
    <t>Lot ID AS `lot_code#v1`,</t>
  </si>
  <si>
    <t>Product</t>
  </si>
  <si>
    <t>Product AS `product_code#v1`,</t>
  </si>
  <si>
    <t>Tech</t>
  </si>
  <si>
    <t>所属工艺</t>
  </si>
  <si>
    <t>tech_code</t>
  </si>
  <si>
    <t>Tech AS `tech_code#v1`,</t>
  </si>
  <si>
    <t>Step id</t>
  </si>
  <si>
    <t>所属step</t>
  </si>
  <si>
    <t>step_code</t>
  </si>
  <si>
    <t>Step id AS `step_code#v1`,</t>
  </si>
  <si>
    <t>Wafer ID</t>
  </si>
  <si>
    <t>wafer编码</t>
  </si>
  <si>
    <t>Wafer ID AS `wafer_code#v1`,</t>
  </si>
  <si>
    <t>Wafer Map</t>
  </si>
  <si>
    <t>wafer map图片地址</t>
  </si>
  <si>
    <t>wafer图片地址</t>
  </si>
  <si>
    <t>wafer_map</t>
  </si>
  <si>
    <t>Wafer Map AS `wafer_map#v1`,</t>
  </si>
  <si>
    <t>Slot</t>
  </si>
  <si>
    <t>槽位</t>
  </si>
  <si>
    <t>slot</t>
  </si>
  <si>
    <t>Slot AS `slot#v1`,</t>
  </si>
  <si>
    <t>Hold Time</t>
  </si>
  <si>
    <t>Hold时间</t>
  </si>
  <si>
    <t>hold时间</t>
  </si>
  <si>
    <t>hold_time</t>
  </si>
  <si>
    <t>Hold Time AS `hold_time#v1`,</t>
  </si>
  <si>
    <t>Internal Priority</t>
  </si>
  <si>
    <t>内部优先级</t>
  </si>
  <si>
    <t>inner_priority</t>
  </si>
  <si>
    <t>Internal Priority AS `inner_priority#v1`,</t>
  </si>
  <si>
    <t>Priority</t>
  </si>
  <si>
    <t>Lot优先级</t>
  </si>
  <si>
    <t>优先级</t>
  </si>
  <si>
    <t>priority</t>
  </si>
  <si>
    <t>Priority AS `priority#v1`,</t>
  </si>
  <si>
    <t>Remain Q-Time</t>
  </si>
  <si>
    <t>剩余Q-Time</t>
  </si>
  <si>
    <t>剩余qime</t>
  </si>
  <si>
    <t>remain_qime</t>
  </si>
  <si>
    <t>float</t>
  </si>
  <si>
    <t>Remain Q-Time AS `remain_qime#v1`,</t>
  </si>
  <si>
    <t>实体编码列</t>
  </si>
  <si>
    <t>_code_</t>
  </si>
  <si>
    <t xml:space="preserve"> AS `_code_#v1`,</t>
  </si>
  <si>
    <t xml:space="preserve"> AS `_biz_ts_#v1`,</t>
  </si>
  <si>
    <t>DC</t>
  </si>
  <si>
    <t>wafer上Total Defect Count</t>
  </si>
  <si>
    <t>缺陷</t>
  </si>
  <si>
    <t>晶圆缺陷总数</t>
  </si>
  <si>
    <t>total_defect_qty</t>
  </si>
  <si>
    <t>DC AS `total_defect_qty#v1`,</t>
  </si>
  <si>
    <t>Class. Defect Count</t>
  </si>
  <si>
    <t>wafer上分类过的defect个数</t>
  </si>
  <si>
    <t>分类缺陷数量</t>
  </si>
  <si>
    <t>class_defect_qty</t>
  </si>
  <si>
    <t>Class. Defect Count AS `class_defect_qty#v1`,</t>
  </si>
  <si>
    <t>Image Count</t>
  </si>
  <si>
    <t>wafer上缺陷图片数量</t>
  </si>
  <si>
    <t>缺陷图片数量</t>
  </si>
  <si>
    <t>image_defect_qty</t>
  </si>
  <si>
    <t>Image Count AS `image_defect_qty#v1`,</t>
  </si>
  <si>
    <t>Defective Die</t>
  </si>
  <si>
    <t>wafer上有缺陷的die的个数</t>
  </si>
  <si>
    <t>缺陷die数量</t>
  </si>
  <si>
    <t>die_defect_qty</t>
  </si>
  <si>
    <t>Defective Die AS `die_defect_qty#v1`,</t>
  </si>
  <si>
    <t>Inspect Die</t>
  </si>
  <si>
    <t>wafer上扫描到的die 的个数</t>
  </si>
  <si>
    <t>扫描die数量</t>
  </si>
  <si>
    <t>die_recipe_qty</t>
  </si>
  <si>
    <t>Inspect Die AS `die_recipe_qty#v1`,</t>
  </si>
  <si>
    <t>Inspection Recipe</t>
  </si>
  <si>
    <t>扫描机台用的recipe id</t>
  </si>
  <si>
    <t>扫描recipe</t>
  </si>
  <si>
    <t>scan_recipe_code</t>
  </si>
  <si>
    <t>Inspection Recipe AS `scan_recipe_code#v1`,</t>
  </si>
  <si>
    <t>Inspection Time</t>
  </si>
  <si>
    <t>检测时间</t>
  </si>
  <si>
    <t>inspection_time</t>
  </si>
  <si>
    <t>Inspection Time AS `inspection_time#v1`,</t>
  </si>
  <si>
    <t>bin info</t>
  </si>
  <si>
    <t>defect_bin_info</t>
  </si>
  <si>
    <t>varchar(2000)</t>
  </si>
  <si>
    <t>bin卡控信息，列表，item格式：
{“code”：1，“name”：“xxx”，“dd”：0.5,"ddspec":0.6,"dc":1,"normalized_dc":10,"dcspec":8，"images":["image地址"]}</t>
  </si>
  <si>
    <t>bin info AS `defect_bin_info#v1`,</t>
  </si>
  <si>
    <t>Result</t>
  </si>
  <si>
    <t>引用bin info数据
如果有一个normalize_dc超出spec，result为bad
如果有一个normalize_dc超出warning，result为warning
只有所有的normalize_dc不超出spec，result为good</t>
  </si>
  <si>
    <t>结果</t>
  </si>
  <si>
    <t>result</t>
  </si>
  <si>
    <t>Result AS `result#v1`,</t>
  </si>
  <si>
    <t>Bin Result Summary</t>
  </si>
  <si>
    <t>聚合，计算
code1(name)-normalize cnt/spec;code2(name)-normalize cnt/spec</t>
  </si>
  <si>
    <t>结果汇总</t>
  </si>
  <si>
    <t>result_summary</t>
  </si>
  <si>
    <t>Bin Result Summary AS `result_summary#v1`,</t>
  </si>
  <si>
    <t>ads_ffs_watd_dim_rt</t>
  </si>
  <si>
    <t>DWD_WAT_ITEM_VALUE_INCR</t>
  </si>
  <si>
    <t>ID</t>
  </si>
  <si>
    <t>ID AS `unique_record_id#v1`,</t>
  </si>
  <si>
    <t>RAN</t>
  </si>
  <si>
    <t>RANGE</t>
  </si>
  <si>
    <t>range</t>
  </si>
  <si>
    <t>RAN AS `range#v1`,</t>
  </si>
  <si>
    <t>工厂名</t>
  </si>
  <si>
    <t>工厂编码</t>
  </si>
  <si>
    <t>BASIC_ID</t>
  </si>
  <si>
    <t>T_RAW_WAT_BASIC.ID</t>
  </si>
  <si>
    <t>basic_id</t>
  </si>
  <si>
    <t>BASIC_ID AS `basic_id#v1`,</t>
  </si>
  <si>
    <t>LOT_ID</t>
  </si>
  <si>
    <t>LOT ID</t>
  </si>
  <si>
    <t>LOT_ID AS `lot_code#v1`,</t>
  </si>
  <si>
    <t>LOT_TYPE</t>
  </si>
  <si>
    <t>LOT类型</t>
  </si>
  <si>
    <t>lot类型</t>
  </si>
  <si>
    <t>lot_type</t>
  </si>
  <si>
    <t>LOT_TYPE AS `lot_type#v1`,</t>
  </si>
  <si>
    <t>SRC_LOT_ID</t>
  </si>
  <si>
    <t>母LOT ID</t>
  </si>
  <si>
    <t>母lot</t>
  </si>
  <si>
    <t>src_lot_code</t>
  </si>
  <si>
    <t>SRC_LOT_ID AS `src_lot_code#v1`,</t>
  </si>
  <si>
    <t>STEP_ID</t>
  </si>
  <si>
    <t>STEP ID</t>
  </si>
  <si>
    <t>STEP_ID AS `step_code#v1`,</t>
  </si>
  <si>
    <t>RECIPE_ID</t>
  </si>
  <si>
    <t>RECIPE ID</t>
  </si>
  <si>
    <t>所属recipe</t>
  </si>
  <si>
    <t>recipe_code</t>
  </si>
  <si>
    <t>RECIPE_ID AS `recipe_code#v1`,</t>
  </si>
  <si>
    <t>STAGE_ID</t>
  </si>
  <si>
    <t>STAGE ID</t>
  </si>
  <si>
    <t>所属stage</t>
  </si>
  <si>
    <t>stage_code</t>
  </si>
  <si>
    <t>STAGE_ID AS `stage_code#v1`,</t>
  </si>
  <si>
    <t>EQP_ID</t>
  </si>
  <si>
    <t>EQUIPMENT ID</t>
  </si>
  <si>
    <t>所属机台</t>
  </si>
  <si>
    <t>eqp_code</t>
  </si>
  <si>
    <t>EQP_ID AS `eqp_code#v1`,</t>
  </si>
  <si>
    <t>PROBE_CARD_ID</t>
  </si>
  <si>
    <t>测试使用的Handler设备编号或者CP使用的Prober编号</t>
  </si>
  <si>
    <t>设备编号</t>
  </si>
  <si>
    <t>probe_code</t>
  </si>
  <si>
    <t>PROBE_CARD_ID AS `probe_code#v1`,</t>
  </si>
  <si>
    <t>TEST_PROG_NAME</t>
  </si>
  <si>
    <t>测试程序名称</t>
  </si>
  <si>
    <t>test_prog_name</t>
  </si>
  <si>
    <t>TEST_PROG_NAME AS `test_prog_name#v1`,</t>
  </si>
  <si>
    <t>TECHNOLOGY</t>
  </si>
  <si>
    <t>TECHNOLOGY AS `tech_code#v1`,</t>
  </si>
  <si>
    <t>ITEM_NAME</t>
  </si>
  <si>
    <t>测试项名称</t>
  </si>
  <si>
    <t>item_name</t>
  </si>
  <si>
    <t>ITEM_NAME AS `item_name#v1`,</t>
  </si>
  <si>
    <t>ITEM_VALUE</t>
  </si>
  <si>
    <t>测试项值</t>
  </si>
  <si>
    <t>item_value</t>
  </si>
  <si>
    <t>ITEM_VALUE AS `item_value#v1`,</t>
  </si>
  <si>
    <t>ITEM_NUMBER</t>
  </si>
  <si>
    <t>测试项号</t>
  </si>
  <si>
    <t>测试编号</t>
  </si>
  <si>
    <t>item_num</t>
  </si>
  <si>
    <t>ITEM_NUMBER AS `item_num#v1`,</t>
  </si>
  <si>
    <t>PASS_FAIL</t>
  </si>
  <si>
    <t>PASS FAIL</t>
  </si>
  <si>
    <t>pass_fail</t>
  </si>
  <si>
    <t>PASS_FAIL AS `pass_fail#v1`,</t>
  </si>
  <si>
    <t>SITE_ID</t>
  </si>
  <si>
    <t>site编码</t>
  </si>
  <si>
    <t>site_code</t>
  </si>
  <si>
    <t>SITE_ID AS `site_code#v1`,</t>
  </si>
  <si>
    <t>SLOT_ID</t>
  </si>
  <si>
    <t>SLOT ID</t>
  </si>
  <si>
    <t>slot编码</t>
  </si>
  <si>
    <t>slot_code</t>
  </si>
  <si>
    <t>SLOT_ID AS `slot_code#v1`,</t>
  </si>
  <si>
    <t>STATUS</t>
  </si>
  <si>
    <t>有效性</t>
  </si>
  <si>
    <t>status</t>
  </si>
  <si>
    <t>STATUS AS `status#v1`,</t>
  </si>
  <si>
    <t>WAFER_ID</t>
  </si>
  <si>
    <t>WAFER ID</t>
  </si>
  <si>
    <t>WAFER_ID AS `wafer_code#v1`,</t>
  </si>
  <si>
    <t>WAFER_NUM</t>
  </si>
  <si>
    <t>WAFER编号</t>
  </si>
  <si>
    <t>晶圆编号</t>
  </si>
  <si>
    <t>wafer_num</t>
  </si>
  <si>
    <t>WAFER_NUM AS `wafer_num#v1`,</t>
  </si>
  <si>
    <t>WAFER_T7CODE</t>
  </si>
  <si>
    <t>晶圆t7编码</t>
  </si>
  <si>
    <t>wafer_t7_code</t>
  </si>
  <si>
    <t>WAFER_T7CODE AS `wafer_t7_code#v1`,</t>
  </si>
  <si>
    <t>RESULT</t>
  </si>
  <si>
    <t>RESULT AS `result#v1`,</t>
  </si>
  <si>
    <t>TEST_SEQ</t>
  </si>
  <si>
    <t>测试序号</t>
  </si>
  <si>
    <t>test_seq</t>
  </si>
  <si>
    <t>TEST_SEQ AS `test_seq#v1`,</t>
  </si>
  <si>
    <t>ORIG_X</t>
  </si>
  <si>
    <t>orig_x</t>
  </si>
  <si>
    <t>ORIG_X AS `orig_x#v1`,</t>
  </si>
  <si>
    <t>ORIG_Y</t>
  </si>
  <si>
    <t>orig_y</t>
  </si>
  <si>
    <t>ORIG_Y AS `orig_y#v1`,</t>
  </si>
  <si>
    <t>LOT_METRO_START_TIME</t>
  </si>
  <si>
    <t>LOT测试开始时间</t>
  </si>
  <si>
    <t>lot测试开始时间</t>
  </si>
  <si>
    <t>lot_metro_start_time</t>
  </si>
  <si>
    <t>LOT_METRO_START_TIME AS `lot_metro_start_time#v1`,</t>
  </si>
  <si>
    <t>LOT_METRO_END_TIME</t>
  </si>
  <si>
    <t>LOT测试结束时间</t>
  </si>
  <si>
    <t>lot测试结束时间</t>
  </si>
  <si>
    <t>lot_metro_end_time</t>
  </si>
  <si>
    <t>LOT_METRO_END_TIME AS `lot_metro_end_time#v1`,</t>
  </si>
  <si>
    <t>REPORT_DATE</t>
  </si>
  <si>
    <t>报告时间</t>
  </si>
  <si>
    <t>report_time</t>
  </si>
  <si>
    <t>REPORT_DATE AS `report_time#v1`,</t>
  </si>
  <si>
    <t>CREATE_TIME</t>
  </si>
  <si>
    <t>创建时间</t>
  </si>
  <si>
    <t>create_time</t>
  </si>
  <si>
    <t>CREATE_TIME AS `create_time#v1`,</t>
  </si>
  <si>
    <t>UPDATE_TIME</t>
  </si>
  <si>
    <t>更新时间</t>
  </si>
  <si>
    <t>update_time</t>
  </si>
  <si>
    <t>UPDATE_TIME AS `update_time#v1`,</t>
  </si>
  <si>
    <t>PROC_TIME</t>
  </si>
  <si>
    <t>PROC_TIME AS `proc_time#v1`,</t>
  </si>
  <si>
    <t>DWD_WAT_LIMIT_INCR</t>
  </si>
  <si>
    <t>ITEM_FLAG</t>
  </si>
  <si>
    <t>参数标识</t>
  </si>
  <si>
    <t>item_flag</t>
  </si>
  <si>
    <t>ITEM_FLAG AS `item_flag#v1`,</t>
  </si>
  <si>
    <t>PRODUCT_VER</t>
  </si>
  <si>
    <t>产品版本号</t>
  </si>
  <si>
    <t>product_ver</t>
  </si>
  <si>
    <t>PRODUCT_VER AS `product_ver#v1`,</t>
  </si>
  <si>
    <t>LCL</t>
  </si>
  <si>
    <t>LIMIT下限紧</t>
  </si>
  <si>
    <t>limit下限紧</t>
  </si>
  <si>
    <t>limit_lcl</t>
  </si>
  <si>
    <t>decimal(25,6)</t>
  </si>
  <si>
    <t>LCL AS `limit_lcl#v1`,</t>
  </si>
  <si>
    <t>UCL</t>
  </si>
  <si>
    <t>LIMIT上限紧</t>
  </si>
  <si>
    <t>limit上限紧</t>
  </si>
  <si>
    <t>limit_ucl</t>
  </si>
  <si>
    <t>UCL AS `limit_ucl#v1`,</t>
  </si>
  <si>
    <t>SPEC_HI</t>
  </si>
  <si>
    <t>LIMIT上限松</t>
  </si>
  <si>
    <t>limit上限松</t>
  </si>
  <si>
    <t>limit_spec_hi</t>
  </si>
  <si>
    <t>SPEC_HI AS `limit_spec_hi#v1`,</t>
  </si>
  <si>
    <t>SPEC_LO</t>
  </si>
  <si>
    <t>LIMIT下限松</t>
  </si>
  <si>
    <t>limit下限松</t>
  </si>
  <si>
    <t>limit_sprc_lo</t>
  </si>
  <si>
    <t>SPEC_LO AS `limit_sprc_lo#v1`,</t>
  </si>
  <si>
    <t>TARGET</t>
  </si>
  <si>
    <t>目标值</t>
  </si>
  <si>
    <t>limit_target</t>
  </si>
  <si>
    <t>TARGET AS `limit_target#v1`,</t>
  </si>
  <si>
    <t>CENSOR_HIGH</t>
  </si>
  <si>
    <t>LIMIT上限</t>
  </si>
  <si>
    <t>limit上限</t>
  </si>
  <si>
    <t>limit_censor_hi</t>
  </si>
  <si>
    <t>CENSOR_HIGH AS `limit_censor_hi#v1`,</t>
  </si>
  <si>
    <t>CENSOR_LOW</t>
  </si>
  <si>
    <t>LIMIT下限</t>
  </si>
  <si>
    <t>limit下限</t>
  </si>
  <si>
    <t>limit_censor_lo</t>
  </si>
  <si>
    <t>CENSOR_LOW AS `limit_censor_lo#v1`,</t>
  </si>
  <si>
    <t>limit创建时间</t>
  </si>
  <si>
    <t>limit_create_time</t>
  </si>
  <si>
    <t>CREATE_TIME AS `limit_create_time#v1`,</t>
  </si>
  <si>
    <t>limit更新时间</t>
  </si>
  <si>
    <t>limit_update_time</t>
  </si>
  <si>
    <t>UPDATE_TIME AS `limit_update_time#v1`,</t>
  </si>
  <si>
    <t>limit处理时间</t>
  </si>
  <si>
    <t>limit_proc_time</t>
  </si>
  <si>
    <t>PROC_TIME AS `limit_proc_time#v1`,</t>
  </si>
  <si>
    <t>唯一记录id</t>
  </si>
  <si>
    <t>ads_ffs_feature_fact_pm_rti</t>
  </si>
  <si>
    <t>0.7路宽</t>
  </si>
  <si>
    <t>next_plan_pm_code</t>
  </si>
  <si>
    <t>计划保养编码</t>
  </si>
  <si>
    <t>plan_pm_code</t>
  </si>
  <si>
    <t>计划保养机台编码</t>
  </si>
  <si>
    <t>Module/Area/EqpGroup&gt;ads_ffs_eqp_dim_rt获取</t>
  </si>
  <si>
    <t>next_plan_pm_chamber</t>
  </si>
  <si>
    <t>计划保养chamber</t>
  </si>
  <si>
    <t>plan_pm_chamber</t>
  </si>
  <si>
    <t>next_plan_pm_scope</t>
  </si>
  <si>
    <t>计划保养范围</t>
  </si>
  <si>
    <t>plan_pm_scope</t>
  </si>
  <si>
    <t>next_plan_pm_type</t>
  </si>
  <si>
    <t>计划保养类型</t>
  </si>
  <si>
    <t>plan_pm_type</t>
  </si>
  <si>
    <t>next_plan_pm_status</t>
  </si>
  <si>
    <t>计划保养状态</t>
  </si>
  <si>
    <t>plan_pm_status</t>
  </si>
  <si>
    <t>next_plan_pm_start_time</t>
  </si>
  <si>
    <t>计划保养开始时间</t>
  </si>
  <si>
    <t>plan_pm_start_time</t>
  </si>
  <si>
    <t>next_plan_pm_end_time</t>
  </si>
  <si>
    <t>计划保养结束时间</t>
  </si>
  <si>
    <t>plan_pm_end_time</t>
  </si>
  <si>
    <t>next_plan_pm_dur_h</t>
  </si>
  <si>
    <t>计划保养持续时长（小时）</t>
  </si>
  <si>
    <t>plan_pm_dur_h</t>
  </si>
  <si>
    <t>next_plan_pm_restore_time</t>
  </si>
  <si>
    <t>计划保养预计恢复时间</t>
  </si>
  <si>
    <t>plan_pm_restore_time</t>
  </si>
  <si>
    <t>next_plan_pm_owner</t>
  </si>
  <si>
    <t>计划保养owner</t>
  </si>
  <si>
    <t>plan_pm_owner</t>
  </si>
  <si>
    <t>DWD_METRO_ITEM_VALUE_INCR</t>
  </si>
  <si>
    <t>varchar(200)</t>
  </si>
  <si>
    <t>FAB_SITE AS `fac_site#v1`,</t>
  </si>
  <si>
    <t>AREA</t>
  </si>
  <si>
    <t>所属区域</t>
  </si>
  <si>
    <t>area_code</t>
  </si>
  <si>
    <t>AREA AS `area_code#v1`,</t>
  </si>
  <si>
    <t>METRO_ROUTE_ID</t>
  </si>
  <si>
    <t>量测route</t>
  </si>
  <si>
    <t>metro_route_code</t>
  </si>
  <si>
    <t>METRO_ROUTE_ID AS `metro_route_code#v1`,</t>
  </si>
  <si>
    <t>METRO_STEP_ID</t>
  </si>
  <si>
    <t>量测step</t>
  </si>
  <si>
    <t>metro_step_code</t>
  </si>
  <si>
    <t>METRO_STEP_ID AS `metro_step_code#v1`,</t>
  </si>
  <si>
    <t>METRO_STEP_NUM</t>
  </si>
  <si>
    <t>METRO_STEP编号</t>
  </si>
  <si>
    <t>量测step编号</t>
  </si>
  <si>
    <t>metro_step_num</t>
  </si>
  <si>
    <t>varchar(128)</t>
  </si>
  <si>
    <t>METRO_STEP_NUM AS `metro_step_num#v1`,</t>
  </si>
  <si>
    <t>METRO_RECIPE_ID</t>
  </si>
  <si>
    <t>量测recipe</t>
  </si>
  <si>
    <t>metro_recipe_code</t>
  </si>
  <si>
    <t>METRO_RECIPE_ID AS `metro_recipe_code#v1`,</t>
  </si>
  <si>
    <t>ROW_KEY</t>
  </si>
  <si>
    <t>ROWKEY</t>
  </si>
  <si>
    <t>rowkey</t>
  </si>
  <si>
    <t>ROW_KEY AS `rowkey#v1`,</t>
  </si>
  <si>
    <t>T_RAW_INLINE_BASIC.ID</t>
  </si>
  <si>
    <t>job_name</t>
  </si>
  <si>
    <t>STAGE_ID AS `job_name#v1`,</t>
  </si>
  <si>
    <t>JOB_TYPE</t>
  </si>
  <si>
    <t>任务类型</t>
  </si>
  <si>
    <t>job_type</t>
  </si>
  <si>
    <t>JOB_TYPE AS `job_type#v1`,</t>
  </si>
  <si>
    <t>加工CHAMBER ID</t>
  </si>
  <si>
    <t>加工chamber</t>
  </si>
  <si>
    <t>PROC_CHA_ID AS `proc_cha_code#v1`,</t>
  </si>
  <si>
    <t>加工机台</t>
  </si>
  <si>
    <t>PROC_EQP_ID AS `proc_eqp_code#v1`,</t>
  </si>
  <si>
    <t>PROC_EQP_GROUP</t>
  </si>
  <si>
    <t>加工机台组</t>
  </si>
  <si>
    <t>proc_eqp_group</t>
  </si>
  <si>
    <t>PROC_EQP_GROUP AS `proc_eqp_group#v1`,</t>
  </si>
  <si>
    <t>PROC_PHY_RECIPE_ID</t>
  </si>
  <si>
    <t>加工PHY RECIPE ID</t>
  </si>
  <si>
    <t>加工phy_recipe</t>
  </si>
  <si>
    <t>proc_recipe</t>
  </si>
  <si>
    <t>PROC_PHY_RECIPE_ID AS `proc_recipe#v1`,</t>
  </si>
  <si>
    <t>PROC_RECIPE_ID</t>
  </si>
  <si>
    <t>加工RECIPE ID</t>
  </si>
  <si>
    <t>加工recipe</t>
  </si>
  <si>
    <t>proc_recipe_code</t>
  </si>
  <si>
    <t>PROC_RECIPE_ID AS `proc_recipe_code#v1`,</t>
  </si>
  <si>
    <t>PROC_RECIPE_VER</t>
  </si>
  <si>
    <t>加工RECIPE版本</t>
  </si>
  <si>
    <t>加工recipe版本</t>
  </si>
  <si>
    <t>proc_recipe_ver</t>
  </si>
  <si>
    <t>PROC_RECIPE_VER AS `proc_recipe_ver#v1`,</t>
  </si>
  <si>
    <t>PROC_RETICLE_LAYER</t>
  </si>
  <si>
    <t>加工RETICLE LAYER</t>
  </si>
  <si>
    <t>加工reticle_layer</t>
  </si>
  <si>
    <t>proc_reticle_layer</t>
  </si>
  <si>
    <t>PROC_RETICLE_LAYER AS `proc_reticle_layer#v1`,</t>
  </si>
  <si>
    <t>PROC_RETICLE_ID</t>
  </si>
  <si>
    <t>加工RETICLE ID</t>
  </si>
  <si>
    <t>加工reticle_id</t>
  </si>
  <si>
    <t>proc_reticle_id</t>
  </si>
  <si>
    <t>PROC_RETICLE_ID AS `proc_reticle_id#v1`,</t>
  </si>
  <si>
    <t>PROC_ROUTE_ID</t>
  </si>
  <si>
    <t>加工ROUTE ID</t>
  </si>
  <si>
    <t>加工route</t>
  </si>
  <si>
    <t>proc_route_code</t>
  </si>
  <si>
    <t>PROC_ROUTE_ID AS `proc_route_code#v1`,</t>
  </si>
  <si>
    <t>PROC_ROUTE_VER</t>
  </si>
  <si>
    <t>加工ROUTE版本</t>
  </si>
  <si>
    <t>加工route版本</t>
  </si>
  <si>
    <t>proc_route_ver</t>
  </si>
  <si>
    <t>PROC_ROUTE_VER AS `proc_route_ver#v1`,</t>
  </si>
  <si>
    <t>PROC_SLOT_ID</t>
  </si>
  <si>
    <t>加工SLOT ID</t>
  </si>
  <si>
    <t>加工slot</t>
  </si>
  <si>
    <t>proc_slot_code</t>
  </si>
  <si>
    <t>PROC_SLOT_ID AS `proc_slot_code#v1`,</t>
  </si>
  <si>
    <t>PROC_STEP_DESC</t>
  </si>
  <si>
    <t>加工STEP描述</t>
  </si>
  <si>
    <t>加工step描述</t>
  </si>
  <si>
    <t>proc_step_desc</t>
  </si>
  <si>
    <t>PROC_STEP_DESC AS `proc_step_desc#v1`,</t>
  </si>
  <si>
    <t>PROC_STEP_ID</t>
  </si>
  <si>
    <t>加工STEP ID</t>
  </si>
  <si>
    <t>加工step</t>
  </si>
  <si>
    <t>PROC_STEP_ID AS `proc_step_code#v1`,</t>
  </si>
  <si>
    <t>PROC_STEP_SEQ</t>
  </si>
  <si>
    <t>加工STEP序号</t>
  </si>
  <si>
    <t>加工step序号</t>
  </si>
  <si>
    <t>proc_step_sqe</t>
  </si>
  <si>
    <t>PROC_STEP_SEQ AS `proc_step_sqe#v1`,</t>
  </si>
  <si>
    <t>PROC_START_TIME</t>
  </si>
  <si>
    <t>加工开始时间</t>
  </si>
  <si>
    <t>proc_start_time</t>
  </si>
  <si>
    <t>PROC_START_TIME AS `proc_start_time#v1`,</t>
  </si>
  <si>
    <t>PROC_END_TIME</t>
  </si>
  <si>
    <t>加工结束时间</t>
  </si>
  <si>
    <t>proc_end_time</t>
  </si>
  <si>
    <t>PROC_END_TIME AS `proc_end_time#v1`,</t>
  </si>
  <si>
    <t>SITE ID</t>
  </si>
  <si>
    <t>LOT量测开始时间</t>
  </si>
  <si>
    <t>lot量测开始时间</t>
  </si>
  <si>
    <t>LOT量测结束时间</t>
  </si>
  <si>
    <t>lot量测结束时间</t>
  </si>
  <si>
    <t>DWD_METRO_LIMIT_INCR</t>
  </si>
  <si>
    <t>CHART_TYPE</t>
  </si>
  <si>
    <t>CHART类型</t>
  </si>
  <si>
    <t>chart类型</t>
  </si>
  <si>
    <t>chart_type</t>
  </si>
  <si>
    <t>CHART_TYPE AS `chart_type#v1`,</t>
  </si>
  <si>
    <t>LIMIT_VER</t>
  </si>
  <si>
    <t>LIMIT版本</t>
  </si>
  <si>
    <t>limit版本</t>
  </si>
  <si>
    <t>limit_ver</t>
  </si>
  <si>
    <t>LIMIT_VER AS `limit_ver#v1`,</t>
  </si>
  <si>
    <t>decimal(27,9)</t>
  </si>
  <si>
    <t>CL</t>
  </si>
  <si>
    <t>cl</t>
  </si>
  <si>
    <t>limit_cl</t>
  </si>
  <si>
    <t>CL AS `limit_cl#v1`,</t>
  </si>
  <si>
    <t>DWS_METRO_SET_ITEM_VALUE_MID_INCR</t>
  </si>
  <si>
    <t>INLINE_TYPE</t>
  </si>
  <si>
    <t>INLINE/OFFLINE</t>
  </si>
  <si>
    <t>inline类型</t>
  </si>
  <si>
    <t>inline_type</t>
  </si>
  <si>
    <t>SETTING_TYPE</t>
  </si>
  <si>
    <t>setting类型</t>
  </si>
  <si>
    <t>POINT_ID</t>
  </si>
  <si>
    <t>point_id</t>
  </si>
  <si>
    <t>TRACK_IN_TIME</t>
  </si>
  <si>
    <t>TRACK IN时间，INLINE_TYPE=‘Offline’为NULL</t>
  </si>
  <si>
    <t>track_in时间</t>
  </si>
  <si>
    <t>track_in_time</t>
  </si>
  <si>
    <t>TRACK_OUT_TIME</t>
  </si>
  <si>
    <t>TRACK OUT时间，INLINE_TYPE=‘Offline’为NULL</t>
  </si>
  <si>
    <t>track_out时间</t>
  </si>
  <si>
    <t>track_out_time</t>
  </si>
  <si>
    <t>REWORK_COUNT</t>
  </si>
  <si>
    <t>rework次数：0=not rework,n=nth rework,INLINE_TYPE=‘Offline’为0</t>
  </si>
  <si>
    <t>是否rework</t>
  </si>
  <si>
    <t>is_rework</t>
  </si>
  <si>
    <t>METRO_EQP_ID</t>
  </si>
  <si>
    <t>量测机台ID</t>
  </si>
  <si>
    <t>量测机台</t>
  </si>
  <si>
    <t>metro_eqp_code</t>
  </si>
  <si>
    <t>Shot X坐标</t>
  </si>
  <si>
    <t>shot_x</t>
  </si>
  <si>
    <t>Tool Matching Agent产品化</t>
  </si>
  <si>
    <t>wafter 热力图使用</t>
  </si>
  <si>
    <t>Shot Y坐标</t>
  </si>
  <si>
    <t>shot_y</t>
  </si>
  <si>
    <t>ads_ffs_metrocd_dim_rt</t>
  </si>
  <si>
    <t xml:space="preserve">  </t>
  </si>
  <si>
    <t>METRO STEP ID</t>
  </si>
  <si>
    <t>STEP 编号</t>
  </si>
  <si>
    <t>加工step编号</t>
  </si>
  <si>
    <t>proc_step_num</t>
  </si>
  <si>
    <t>PROC_STEP_NUM AS `proc_step_num#v1`,</t>
  </si>
  <si>
    <t>METRO STEP 编号</t>
  </si>
  <si>
    <t>INLINE_TYPE AS `inline_type#v1`,</t>
  </si>
  <si>
    <t>varchar(8)</t>
  </si>
  <si>
    <t>SETTING_TYPE AS `setting_type#v1`,</t>
  </si>
  <si>
    <t>POINT ID</t>
  </si>
  <si>
    <t>POINT_ID AS `point_id#v1`,</t>
  </si>
  <si>
    <t>TRACK_IN_TIME AS `track_in_time#v1`,</t>
  </si>
  <si>
    <t>TRACK_OUT_TIME AS `track_out_time#v1`,</t>
  </si>
  <si>
    <t>REWORK_COUNT AS `is_rework#v1`,</t>
  </si>
  <si>
    <t>批次</t>
  </si>
  <si>
    <t>唯一mat编码</t>
  </si>
  <si>
    <t>unique_mat_code</t>
  </si>
  <si>
    <t>-</t>
  </si>
  <si>
    <t>v0.6</t>
  </si>
  <si>
    <t>物料编码</t>
  </si>
  <si>
    <t>mat_code</t>
  </si>
  <si>
    <t>物料名称</t>
  </si>
  <si>
    <t>mat_name</t>
  </si>
  <si>
    <t>取归档值</t>
  </si>
  <si>
    <t>供应商编码</t>
  </si>
  <si>
    <t>supplier_code</t>
  </si>
  <si>
    <t>是否耗材</t>
  </si>
  <si>
    <t>consumable_flag</t>
  </si>
  <si>
    <t>1 表示耗材，0 表示非耗材</t>
  </si>
  <si>
    <t>管控方式</t>
  </si>
  <si>
    <t>control_mode</t>
  </si>
  <si>
    <t>安全库存</t>
  </si>
  <si>
    <t>safety_stock_mat_qty</t>
  </si>
  <si>
    <t>取当日归档值</t>
  </si>
  <si>
    <t>单位持有成本</t>
  </si>
  <si>
    <t>holding_mat_cost</t>
  </si>
  <si>
    <t>正常采购成本</t>
  </si>
  <si>
    <t>normal_purchase_mat_cost</t>
  </si>
  <si>
    <t>紧急采购成本</t>
  </si>
  <si>
    <t>urgent_purchase_mat_cost</t>
  </si>
  <si>
    <t>单位停机成本</t>
  </si>
  <si>
    <t>downtime_mat_cost</t>
  </si>
  <si>
    <t>正常采购提前周期</t>
  </si>
  <si>
    <t>normal_lead_mat_time</t>
  </si>
  <si>
    <t>紧急采购提前周期</t>
  </si>
  <si>
    <t>urgent_lead_mat_time</t>
  </si>
  <si>
    <t>最低采购单位</t>
  </si>
  <si>
    <t>min_purchase_unit_mat_qty</t>
  </si>
  <si>
    <t>每单位包含数量</t>
  </si>
  <si>
    <t>package_mat_qty</t>
  </si>
  <si>
    <t>分区字段（每日），例：20260511</t>
  </si>
  <si>
    <t>可用库存量_本日以来</t>
  </si>
  <si>
    <t>available inventory_mat_qty_tt</t>
  </si>
  <si>
    <t>上机需求量_本日以来</t>
  </si>
  <si>
    <t>demand_mat_qty_tt</t>
  </si>
  <si>
    <t>日汇总</t>
  </si>
  <si>
    <t>在途到货量_本日以来</t>
  </si>
  <si>
    <t>intransit_mat_qty_tt</t>
  </si>
  <si>
    <t>保养回库量_本日以来</t>
  </si>
  <si>
    <t>return_mat_qty_tt</t>
  </si>
  <si>
    <t>上机需求量_本月以来</t>
  </si>
  <si>
    <t>demand_mat_qty_tm</t>
  </si>
  <si>
    <t>本月累计(当月1日到当前日期的累计值)</t>
  </si>
  <si>
    <t>在途到货量_本月以来</t>
  </si>
  <si>
    <t>intransit_mat_qty_tm</t>
  </si>
  <si>
    <t>保养回库量_本月以来</t>
  </si>
  <si>
    <t>return_mat_qty_tm</t>
  </si>
  <si>
    <t>日期_物料编码</t>
  </si>
  <si>
    <t>dt_mat_code</t>
  </si>
  <si>
    <t>dt拼接物料编码，做唯一id使用，用于算法输出</t>
  </si>
  <si>
    <t>月度预测写入每月的最后一天</t>
  </si>
  <si>
    <t>预测结果</t>
  </si>
  <si>
    <t>预测可用库存量_本日以来</t>
  </si>
  <si>
    <t>available_inventory_mat_qty_fcst_tt</t>
  </si>
  <si>
    <t>算法输出</t>
  </si>
  <si>
    <t>预测保养回库量_本月以来</t>
  </si>
  <si>
    <t>return_mat_qty_fcst_tm</t>
  </si>
  <si>
    <t>移动平均</t>
  </si>
  <si>
    <t>预测采购量_本月以来</t>
  </si>
  <si>
    <t>purchase_mat_qty_fcst_tm</t>
  </si>
  <si>
    <t>预测紧急采购量_本月以来</t>
  </si>
  <si>
    <t>urgent_purchase_mat_qty_fcst_tm</t>
  </si>
  <si>
    <t>上机需求量_第1月(自然月)</t>
  </si>
  <si>
    <t>demand_mat_qty_t1cm</t>
  </si>
  <si>
    <t>上机需求量_第2月(自然月)</t>
  </si>
  <si>
    <t>demand_mat_qty_t2cm</t>
  </si>
  <si>
    <t>上机需求量_第3月(自然月)</t>
  </si>
  <si>
    <t>demand_mat_qty_t3cm</t>
  </si>
  <si>
    <t>上机需求量_第4月(自然月)</t>
  </si>
  <si>
    <t>demand_mat_qty_t4cm</t>
  </si>
  <si>
    <t>上机需求量_第5月(自然月)</t>
  </si>
  <si>
    <t>demand_mat_qty_t5cm</t>
  </si>
  <si>
    <t>上机需求量_第6月(自然月)</t>
  </si>
  <si>
    <t>demand_mat_qty_t6cm</t>
  </si>
  <si>
    <t>保养回库量_第1月(自然月)</t>
  </si>
  <si>
    <t>return_mat_qty_t1cm</t>
  </si>
  <si>
    <t>保养回库量_第2月(自然月)</t>
  </si>
  <si>
    <t>return_mat_qty_t2cm</t>
  </si>
  <si>
    <t>保养回库量_第3月(自然月)</t>
  </si>
  <si>
    <t>return_mat_qty_t3cm</t>
  </si>
  <si>
    <t>保养回库量_第4月(自然月)</t>
  </si>
  <si>
    <t>return_mat_qty_t4cm</t>
  </si>
  <si>
    <t>保养回库量_第5月(自然月)</t>
  </si>
  <si>
    <t>return_mat_qty_t5cm</t>
  </si>
  <si>
    <t>保养回库量_第6月(自然月)</t>
  </si>
  <si>
    <t>return_mat_qty_t6cm</t>
  </si>
  <si>
    <t>在途到货量_第1月(自然月)</t>
  </si>
  <si>
    <t>intransit_mat_qty_t1cm</t>
  </si>
  <si>
    <t>在途到货量_第2月(自然月)</t>
  </si>
  <si>
    <t>intransit_mat_qty_t2cm</t>
  </si>
  <si>
    <t>在途到货量_第3月(自然月)</t>
  </si>
  <si>
    <t>intransit_mat_qty_t3cm</t>
  </si>
  <si>
    <t>在途到货量_第4月(自然月)</t>
  </si>
  <si>
    <t>intransit_mat_qty_t4cm</t>
  </si>
  <si>
    <t>在途到货量_第5月(自然月)</t>
  </si>
  <si>
    <t>intransit_mat_qty_t5cm</t>
  </si>
  <si>
    <t>在途到货量_第6月(自然月)</t>
  </si>
  <si>
    <t>intransit_mat_qty_t6cm</t>
  </si>
  <si>
    <t>预测采购量_第1月(自然月)</t>
  </si>
  <si>
    <t>purchase_mat_qty_fcst_t1cm</t>
  </si>
  <si>
    <t>预测采购量_第2月(自然月)</t>
  </si>
  <si>
    <t>purchase_mat_qty_fcst_t2cm</t>
  </si>
  <si>
    <t>预测采购量_第3月(自然月)</t>
  </si>
  <si>
    <t>purchase_mat_qty_fcst_t3cm</t>
  </si>
  <si>
    <t>预测采购量_第4月(自然月)</t>
  </si>
  <si>
    <t>purchase_mat_qty_fcst_t4cm</t>
  </si>
  <si>
    <t>预测采购量_第5月(自然月)</t>
  </si>
  <si>
    <t>purchase_mat_qty_fcst_t5cm</t>
  </si>
  <si>
    <t>预测采购量_第6月(自然月)</t>
  </si>
  <si>
    <t>purchase_mat_qty_fcst_t6cm</t>
  </si>
  <si>
    <t>是否正常采购量_第1月(自然月)</t>
  </si>
  <si>
    <t>is_purchase_mat_qty_fcst_t1cm</t>
  </si>
  <si>
    <t>是否正常采购量_第2月(自然月)</t>
  </si>
  <si>
    <t>is_purchase_mat_qty_fcst_t2cm</t>
  </si>
  <si>
    <t>是否正常采购量_第3月(自然月)</t>
  </si>
  <si>
    <t>is_purchase_mat_qty_fcst_t3cm</t>
  </si>
  <si>
    <t>是否正常采购量_第4月(自然月)</t>
  </si>
  <si>
    <t>is_purchase_mat_qty_fcst_t4cm</t>
  </si>
  <si>
    <t>是否正常采购量_第5月(自然月)</t>
  </si>
  <si>
    <t>is_purchase_mat_qty_fcst_t5cm</t>
  </si>
  <si>
    <t>是否正常采购量_第6月(自然月)</t>
  </si>
  <si>
    <t>is_purchase_mat_qty_fcst_t6cm</t>
  </si>
  <si>
    <t>预测紧急采购量_第1月(自然月)</t>
  </si>
  <si>
    <t>urgent_purchase_mat_qty_fcst_t1cm</t>
  </si>
  <si>
    <t>预测紧急采购量_第2月(自然月)</t>
  </si>
  <si>
    <t>urgent_purchase_mat_qty_fcst_t2cm</t>
  </si>
  <si>
    <t>预测紧急采购量_第3月(自然月)</t>
  </si>
  <si>
    <t>urgent_purchase_mat_qty_fcst_t3cm</t>
  </si>
  <si>
    <t>预测紧急采购量_第4月(自然月)</t>
  </si>
  <si>
    <t>urgent_purchase_mat_qty_fcst_t4cm</t>
  </si>
  <si>
    <t>预测紧急采购量_第5月(自然月)</t>
  </si>
  <si>
    <t>urgent_purchase_mat_qty_fcst_t5cm</t>
  </si>
  <si>
    <t>预测紧急采购量_第6月(自然月)</t>
  </si>
  <si>
    <t>urgent_purchase_mat_qty_fcst_t6cm</t>
  </si>
  <si>
    <t>是否正常紧急采购量_第1月(自然月)</t>
  </si>
  <si>
    <t>is_urgent_purchase_mat_qty_fcst_t1cm</t>
  </si>
  <si>
    <t>是否正常紧急采购量_第2月(自然月)</t>
  </si>
  <si>
    <t>is_urgent_purchase_mat_qty_fcst_t2cm</t>
  </si>
  <si>
    <t>是否正常紧急采购量_第3月(自然月)</t>
  </si>
  <si>
    <t>is_urgent_purchase_mat_qty_fcst_t3cm</t>
  </si>
  <si>
    <t>是否正常紧急采购量_第4月(自然月)</t>
  </si>
  <si>
    <t>is_urgent_purchase_mat_qty_fcst_t4cm</t>
  </si>
  <si>
    <t>是否正常紧急采购量_第5月(自然月)</t>
  </si>
  <si>
    <t>is_urgent_purchase_mat_qty_fcst_t5cm</t>
  </si>
  <si>
    <t>是否正常紧急采购量_第6月(自然月)</t>
  </si>
  <si>
    <t>is_urgent_purchase_mat_qty_fcst_t6cm</t>
  </si>
  <si>
    <t>预测采购成本_后续6月(自然月)</t>
  </si>
  <si>
    <t>purchase_mat_qty_cost_fcst_n6cm</t>
  </si>
  <si>
    <t>已过天数_本月以来</t>
  </si>
  <si>
    <t>elapsed_days_in_month</t>
  </si>
  <si>
    <t>当月已过天数。对应日期在当月的 第几天，例如 2024-01-15 的值为 15。</t>
  </si>
  <si>
    <t>上机需求量_上1月(自然月)</t>
  </si>
  <si>
    <t>demand_mat_qty_l1cm</t>
  </si>
  <si>
    <t>历史第 1 个月下机数量，t_1 表示距date  所在月份最近的上一个月。</t>
  </si>
  <si>
    <t>上机需求量_上2月(自然月)</t>
  </si>
  <si>
    <t>demand_mat_qty_l2cm</t>
  </si>
  <si>
    <t>历史第 2 个月下机数量。</t>
  </si>
  <si>
    <t>上机需求量_上3月(自然月)</t>
  </si>
  <si>
    <t>demand_mat_qty_l3cm</t>
  </si>
  <si>
    <t>历史第 3 个月下机数量。</t>
  </si>
  <si>
    <t>上机需求量_上4月(自然月)</t>
  </si>
  <si>
    <t>demand_mat_qty_l4cm</t>
  </si>
  <si>
    <t>历史第 4 个月下机数量。</t>
  </si>
  <si>
    <t>上机需求量_上5月(自然月)</t>
  </si>
  <si>
    <t>demand_mat_qty_l5cm</t>
  </si>
  <si>
    <t>历史第 5 个月下机数量。</t>
  </si>
  <si>
    <t>上机需求量_上6月(自然月)</t>
  </si>
  <si>
    <t>demand_mat_qty_l6cm</t>
  </si>
  <si>
    <t>历史第 6 个月下机数量。</t>
  </si>
  <si>
    <t>保养回库量_上1月(自然月)</t>
  </si>
  <si>
    <t>return_mat_qty_l1cm</t>
  </si>
  <si>
    <t>保养回库量_上2月(自然月)</t>
  </si>
  <si>
    <t>return_mat_qty_l2cm</t>
  </si>
  <si>
    <t>保养回库量_上3月(自然月)</t>
  </si>
  <si>
    <t>return_mat_qty_l3cm</t>
  </si>
  <si>
    <t>保养回库量_上4月(自然月)</t>
  </si>
  <si>
    <t>return_mat_qty_l4cm</t>
  </si>
  <si>
    <t>保养回库量_上5月(自然月)</t>
  </si>
  <si>
    <t>return_mat_qty_l5cm</t>
  </si>
  <si>
    <t>保养回库量_上6月(自然月)</t>
  </si>
  <si>
    <t>return_mat_qty_l6cm</t>
  </si>
  <si>
    <t>外修量_上1月(自然月)</t>
  </si>
  <si>
    <t>out_repair_mat_qty_l1cm</t>
  </si>
  <si>
    <t>外修量_上2月(自然月)</t>
  </si>
  <si>
    <t>out_repair_mat_qty_l2cm</t>
  </si>
  <si>
    <t>外修量_上3月(自然月)</t>
  </si>
  <si>
    <t>out_repair_mat_qty_l3cm</t>
  </si>
  <si>
    <t>外修量_上4月(自然月)</t>
  </si>
  <si>
    <t>out_repair_mat_qty_l4cm</t>
  </si>
  <si>
    <t>外修量_上5月(自然月)</t>
  </si>
  <si>
    <t>out_repair_mat_qty_l5cm</t>
  </si>
  <si>
    <t>外修量_上6月(自然月)</t>
  </si>
  <si>
    <t>out_repair_mat_qty_l6cm</t>
  </si>
  <si>
    <t>内修量_上1月(自然月)</t>
  </si>
  <si>
    <t>in_repair_mat_qty_l1cm</t>
  </si>
  <si>
    <t>内修量_上2月(自然月)</t>
  </si>
  <si>
    <t>in_repair_mat_qty_l2cm</t>
  </si>
  <si>
    <t>内修量_上3月(自然月)</t>
  </si>
  <si>
    <t>in_repair_mat_qty_l3cm</t>
  </si>
  <si>
    <t>内修量_上4月(自然月)</t>
  </si>
  <si>
    <t>in_repair_mat_qty_l4cm</t>
  </si>
  <si>
    <t>内修量_上5月(自然月)</t>
  </si>
  <si>
    <t>in_repair_mat_qty_l5cm</t>
  </si>
  <si>
    <t>内修量_上6月(自然月)</t>
  </si>
  <si>
    <t>in_repair_mat_qty_l6cm</t>
  </si>
  <si>
    <t>外洗量_上1月(自然月)</t>
  </si>
  <si>
    <t>out_clean_mat_qty_l1cm</t>
  </si>
  <si>
    <t>外洗量_上2月(自然月)</t>
  </si>
  <si>
    <t>out_clean_mat_qty_l2cm</t>
  </si>
  <si>
    <t>外洗量_上3月(自然月)</t>
  </si>
  <si>
    <t>out_clean_mat_qty_l3cm</t>
  </si>
  <si>
    <t>外洗量_上4月(自然月)</t>
  </si>
  <si>
    <t>out_clean_mat_qty_l4cm</t>
  </si>
  <si>
    <t>外洗量_上5月(自然月)</t>
  </si>
  <si>
    <t>out_clean_mat_qty_l5cm</t>
  </si>
  <si>
    <t>外洗量_上6月(自然月)</t>
  </si>
  <si>
    <t>out_clean_mat_qty_l6cm</t>
  </si>
  <si>
    <t>内洗量_上1月(自然月)</t>
  </si>
  <si>
    <t>in_clean_mat_qty_l1cm</t>
  </si>
  <si>
    <t>内洗量_上2月(自然月)</t>
  </si>
  <si>
    <t>in_clean_mat_qty_l2cm</t>
  </si>
  <si>
    <t>内洗量_上3月(自然月)</t>
  </si>
  <si>
    <t>in_clean_mat_qty_l3cm</t>
  </si>
  <si>
    <t>内洗量_上4月(自然月)</t>
  </si>
  <si>
    <t>in_clean_mat_qty_l4cm</t>
  </si>
  <si>
    <t>内洗量_上5月(自然月)</t>
  </si>
  <si>
    <t>in_clean_mat_qty_l5cm</t>
  </si>
  <si>
    <t>内洗量_上6月(自然月)</t>
  </si>
  <si>
    <t>in_clean_mat_qty_l6cm</t>
  </si>
  <si>
    <t>报废量_上1月(自然月)</t>
  </si>
  <si>
    <t>scrap_mat_qty_l1cm</t>
  </si>
  <si>
    <t>报废量_上2月(自然月)</t>
  </si>
  <si>
    <t>scrap_mat_qty_l2cm</t>
  </si>
  <si>
    <t>报废量_上3月(自然月)</t>
  </si>
  <si>
    <t>scrap_mat_qty_l3cm</t>
  </si>
  <si>
    <t>报废量_上4月(自然月)</t>
  </si>
  <si>
    <t>scrap_mat_qty_l4cm</t>
  </si>
  <si>
    <t>报废量_上5月(自然月)</t>
  </si>
  <si>
    <t>scrap_mat_qty_l5cm</t>
  </si>
  <si>
    <t>报废量_上6月(自然月)</t>
  </si>
  <si>
    <t>scrap_mat_qty_l6cm</t>
  </si>
  <si>
    <t>其他量_上1月(自然月)</t>
  </si>
  <si>
    <t>other_mat_qty_l1cm</t>
  </si>
  <si>
    <t>其他量_上2月(自然月)</t>
  </si>
  <si>
    <t>other_mat_qty_l2cm</t>
  </si>
  <si>
    <t>其他量_上3月(自然月)</t>
  </si>
  <si>
    <t>other_mat_qty_l3cm</t>
  </si>
  <si>
    <t>其他量_上4月(自然月)</t>
  </si>
  <si>
    <t>other_mat_qty_l4cm</t>
  </si>
  <si>
    <t>其他量_上5月(自然月)</t>
  </si>
  <si>
    <t>other_mat_qty_l5cm</t>
  </si>
  <si>
    <t>其他量_上6月(自然月)</t>
  </si>
  <si>
    <t>other_mat_qty_l6cm</t>
  </si>
  <si>
    <t>外洗量_本月以来</t>
  </si>
  <si>
    <t>out_clean_mat_qty_tm</t>
  </si>
  <si>
    <t>内洗量_本月以来</t>
  </si>
  <si>
    <t>in_clean_mat_qty_tm</t>
  </si>
  <si>
    <t>外修量_本月以来</t>
  </si>
  <si>
    <t>out_repair_mat_qty_tm</t>
  </si>
  <si>
    <t>内修量_本月以来</t>
  </si>
  <si>
    <t>in_repair_mat_qty_tm</t>
  </si>
  <si>
    <t>报废量_本月以来</t>
  </si>
  <si>
    <t>scrap_mat_qty_tm</t>
  </si>
  <si>
    <t>其他量_本月以来</t>
  </si>
  <si>
    <t>other_mat_qty_tm</t>
  </si>
  <si>
    <t>保养回库量_近6月总和</t>
  </si>
  <si>
    <t>return_mat_qty_sum_l6cm</t>
  </si>
  <si>
    <t>历史 6 个月回库数量总和</t>
  </si>
  <si>
    <t>保养回库量与上机需求量_近6月比值</t>
  </si>
  <si>
    <t>return_demand_mat_qty_ratio_l6cm</t>
  </si>
  <si>
    <t>历史 6 个月回库下机比， 回库/上机 为 0 时取值为 0。</t>
  </si>
  <si>
    <t>上机需求量_近6月是否为零</t>
  </si>
  <si>
    <t>demand_mat_qty_sum_l6cm_zero_flag</t>
  </si>
  <si>
    <t>历史 6 个月上机需求数量是否为 0。 上机 等于 0 时取值为 1，否则取值为 0。</t>
  </si>
  <si>
    <t>特征表名</t>
  </si>
  <si>
    <t>数仓供数情况</t>
  </si>
  <si>
    <t>业务定义统计期间</t>
  </si>
  <si>
    <t>版本</t>
  </si>
  <si>
    <t>唯一lot编码</t>
  </si>
  <si>
    <t>unique_lot_code</t>
  </si>
  <si>
    <t>ads_ffs_lot_dim_rt</t>
  </si>
  <si>
    <t>系统字段</t>
  </si>
  <si>
    <t>lot编码</t>
  </si>
  <si>
    <t>varchar(50)</t>
  </si>
  <si>
    <t>vFab大屏,Impact Lot，Common Tool</t>
  </si>
  <si>
    <t>lotl类型</t>
  </si>
  <si>
    <t>0.7lot路宽</t>
  </si>
  <si>
    <t>所属厂区</t>
  </si>
  <si>
    <t>vFab大屏</t>
  </si>
  <si>
    <t>父lot</t>
  </si>
  <si>
    <t>parent_lot_code</t>
  </si>
  <si>
    <t>根lot</t>
  </si>
  <si>
    <t>root_lot_code</t>
  </si>
  <si>
    <t>供应商</t>
  </si>
  <si>
    <t>vendor</t>
  </si>
  <si>
    <t>晶圆类型</t>
  </si>
  <si>
    <t>wafer_type</t>
  </si>
  <si>
    <t>varchar(40)</t>
  </si>
  <si>
    <t>如Bulk Silicon, SOI, Epitaxial等</t>
  </si>
  <si>
    <t>所属product</t>
  </si>
  <si>
    <t>vFab大屏,0.7lot路宽,Impact Lot，Common Tool</t>
  </si>
  <si>
    <t>所属product类型</t>
  </si>
  <si>
    <t>product_type</t>
  </si>
  <si>
    <t>node code</t>
  </si>
  <si>
    <t>node_code</t>
  </si>
  <si>
    <t>vFab大屏,0.7lot路宽</t>
  </si>
  <si>
    <t>所属配方</t>
  </si>
  <si>
    <t>step列表</t>
  </si>
  <si>
    <t>step_list</t>
  </si>
  <si>
    <t>varchar(65535)</t>
  </si>
  <si>
    <t>lot</t>
  </si>
  <si>
    <t>ads_ffs_feature_fact_lot_rti</t>
  </si>
  <si>
    <t>系统字段,Impact Lot，Common Tool</t>
  </si>
  <si>
    <t>当前seq</t>
  </si>
  <si>
    <t>cur_seq</t>
  </si>
  <si>
    <t>0.7lot路宽,Common Tool</t>
  </si>
  <si>
    <t>step描述</t>
  </si>
  <si>
    <t>cur_step_desc</t>
  </si>
  <si>
    <t>Common Tool</t>
  </si>
  <si>
    <t>当前区域</t>
  </si>
  <si>
    <t>cur_area</t>
  </si>
  <si>
    <t>在制品追踪</t>
  </si>
  <si>
    <t>当前工序</t>
  </si>
  <si>
    <t>cur_operation</t>
  </si>
  <si>
    <t>当前位置</t>
  </si>
  <si>
    <t>cur_location</t>
  </si>
  <si>
    <t>当前机台编码</t>
  </si>
  <si>
    <t>cur_eqp_code</t>
  </si>
  <si>
    <t>当前机台状态</t>
  </si>
  <si>
    <t>cur_eqp_status</t>
  </si>
  <si>
    <t>当前机台限制</t>
  </si>
  <si>
    <t>cur_eqp_constraint</t>
  </si>
  <si>
    <t>当前机台能力</t>
  </si>
  <si>
    <t>cur_eqp_capablity</t>
  </si>
  <si>
    <t>0.7lot路宽,Impact Lot</t>
  </si>
  <si>
    <t>当前机台能力状态</t>
  </si>
  <si>
    <t>cur_eqp_capablity_status</t>
  </si>
  <si>
    <t>当前机台组</t>
  </si>
  <si>
    <t>cur_eqp_group</t>
  </si>
  <si>
    <t>当前机台recipe</t>
  </si>
  <si>
    <t>cur_eqp_recipe</t>
  </si>
  <si>
    <t>当前机台recipe状态</t>
  </si>
  <si>
    <t>cur_eqp_recipe_status</t>
  </si>
  <si>
    <t>当前golfen_tool</t>
  </si>
  <si>
    <t>cur_golden_tool</t>
  </si>
  <si>
    <t>当前step状态</t>
  </si>
  <si>
    <t>cur_step_state</t>
  </si>
  <si>
    <t>varchar(20)</t>
  </si>
  <si>
    <t>Pre、Reserve、TrackIn、TrackOut、Post</t>
  </si>
  <si>
    <t>vFab大屏,Impact Lot</t>
  </si>
  <si>
    <t>当前step</t>
  </si>
  <si>
    <t>cur_step_code</t>
  </si>
  <si>
    <t>vFab大屏,0.7lot路宽,Common Tool</t>
  </si>
  <si>
    <t>当前stage</t>
  </si>
  <si>
    <t>cur_stage_code</t>
  </si>
  <si>
    <t>当前layer</t>
  </si>
  <si>
    <t>cur_layer_code</t>
  </si>
  <si>
    <t>当前loop</t>
  </si>
  <si>
    <t>cur_loop_code</t>
  </si>
  <si>
    <t>lot step记录</t>
  </si>
  <si>
    <t>最近track in 时间</t>
  </si>
  <si>
    <t>last_track_in_time</t>
  </si>
  <si>
    <t>最近track out 时间</t>
  </si>
  <si>
    <t>last_track_out_time</t>
  </si>
  <si>
    <t>dateime</t>
  </si>
  <si>
    <t>最近step开始时间</t>
  </si>
  <si>
    <t>last_step_in_time</t>
  </si>
  <si>
    <t>最近step结束时间</t>
  </si>
  <si>
    <t>last_step_out_time</t>
  </si>
  <si>
    <t>hold时长</t>
  </si>
  <si>
    <t>当前foup</t>
  </si>
  <si>
    <t>cur_foup_code</t>
  </si>
  <si>
    <t>当前foup 类型</t>
  </si>
  <si>
    <t>cur_foup_type</t>
  </si>
  <si>
    <t>良率</t>
  </si>
  <si>
    <t>今日以来报废wafer数量</t>
  </si>
  <si>
    <t>scrapped_wafer_qty_tt</t>
  </si>
  <si>
    <t>7:30-7:30</t>
  </si>
  <si>
    <t>当日晶圆良率</t>
  </si>
  <si>
    <t>wafer_yield_tt</t>
  </si>
  <si>
    <t>报废原因编码列表</t>
  </si>
  <si>
    <t>scrap_reason_code_list</t>
  </si>
  <si>
    <t>varchar(65533)</t>
  </si>
  <si>
    <t>lot派工</t>
  </si>
  <si>
    <t>派工类型编码</t>
  </si>
  <si>
    <t>dispatch_type_code</t>
  </si>
  <si>
    <t>预约时间</t>
  </si>
  <si>
    <t>reserve_time</t>
  </si>
  <si>
    <t>派工优先级</t>
  </si>
  <si>
    <t>dispatch_priority</t>
  </si>
  <si>
    <t>派工截止时间</t>
  </si>
  <si>
    <t>due_time</t>
  </si>
  <si>
    <t>派工目标机台编码</t>
  </si>
  <si>
    <t>des_eqp_code</t>
  </si>
  <si>
    <t>路宽</t>
  </si>
  <si>
    <t>RESOURCE TYPE</t>
  </si>
  <si>
    <t>resource_type</t>
  </si>
  <si>
    <t>QTY</t>
  </si>
  <si>
    <t>qty</t>
  </si>
  <si>
    <t>位置</t>
  </si>
  <si>
    <t>location</t>
  </si>
  <si>
    <t>内部step</t>
  </si>
  <si>
    <t>internalint_step</t>
  </si>
  <si>
    <t>当前路宽机台总数</t>
  </si>
  <si>
    <t>cur_lw_eqp_total</t>
  </si>
  <si>
    <t>当前可用路宽机台总数</t>
  </si>
  <si>
    <t>cur_lw_eqp_avail_count</t>
  </si>
  <si>
    <t>当前不可用路宽机台总数</t>
  </si>
  <si>
    <t>cur_lw_eqp_unavail_count</t>
  </si>
  <si>
    <t>当前可用黄金路宽机台总数</t>
  </si>
  <si>
    <t>cur_lw_golden_eqp_avail_count</t>
  </si>
  <si>
    <t>当前不可用黄金路宽机台总数</t>
  </si>
  <si>
    <t>cur_lw_golden_eqp_unavail_count</t>
  </si>
  <si>
    <t>lot状态</t>
  </si>
  <si>
    <t>lot_status</t>
  </si>
  <si>
    <t>wafer数量</t>
  </si>
  <si>
    <t>wafer_cnt</t>
  </si>
  <si>
    <t>,Impact Lot</t>
  </si>
  <si>
    <t>recipe编码</t>
  </si>
  <si>
    <t>是否量产</t>
  </si>
  <si>
    <t>is_npw</t>
  </si>
  <si>
    <t>0/1标识</t>
  </si>
  <si>
    <t>load_port</t>
  </si>
  <si>
    <t>,Common Tool</t>
  </si>
  <si>
    <t>ads_ffs_qtimed_dim_rt</t>
  </si>
  <si>
    <t>DWD_QTIME_WAFER_HIST_SUMM_INCR</t>
  </si>
  <si>
    <t>SOURCE_LOT</t>
  </si>
  <si>
    <t>母lot编号</t>
  </si>
  <si>
    <t>SOURCE_LOT AS `src_lot_code#v1`,</t>
  </si>
  <si>
    <t>fab名</t>
  </si>
  <si>
    <t>产品编号/名称</t>
  </si>
  <si>
    <t>wafer编号</t>
  </si>
  <si>
    <t>晶圆编码</t>
  </si>
  <si>
    <t>wafer实物编号</t>
  </si>
  <si>
    <t>晶圆实物编码</t>
  </si>
  <si>
    <t>ROUTE_ID</t>
  </si>
  <si>
    <t>route信息</t>
  </si>
  <si>
    <t>所属route</t>
  </si>
  <si>
    <t>route_code</t>
  </si>
  <si>
    <t>ROUTE_ID AS `route_code#v1`,</t>
  </si>
  <si>
    <t>当前step描述</t>
  </si>
  <si>
    <t>STEP_NUM</t>
  </si>
  <si>
    <t>当前节点的step sequence</t>
  </si>
  <si>
    <t>step编号</t>
  </si>
  <si>
    <t>step_num</t>
  </si>
  <si>
    <t>varchar(512)</t>
  </si>
  <si>
    <t>STEP_NUM AS `step_num#v1`,</t>
  </si>
  <si>
    <t>STEP_DESC</t>
  </si>
  <si>
    <t>step_desc</t>
  </si>
  <si>
    <t>varchar(2048)</t>
  </si>
  <si>
    <t>STEP_DESC AS `step_desc#v1`,</t>
  </si>
  <si>
    <t>SRC_NO</t>
  </si>
  <si>
    <t>split runcard编号</t>
  </si>
  <si>
    <t>split_runcard编号</t>
  </si>
  <si>
    <t>split_runcard_num</t>
  </si>
  <si>
    <t>SRC_NO AS `split_runcard_num#v1`,</t>
  </si>
  <si>
    <t>RRC_NO</t>
  </si>
  <si>
    <t>recovery runcard编号</t>
  </si>
  <si>
    <t>recovery_runcard编号</t>
  </si>
  <si>
    <t>recovery_runcard_code</t>
  </si>
  <si>
    <t>RRC_NO AS `recovery_runcard_code#v1`,</t>
  </si>
  <si>
    <t>lot编号</t>
  </si>
  <si>
    <t>机台名称</t>
  </si>
  <si>
    <t>varchar(1024)</t>
  </si>
  <si>
    <t>CHAMBER</t>
  </si>
  <si>
    <t>Wafer经过的Chamber记录</t>
  </si>
  <si>
    <t>晶圆腔室记录</t>
  </si>
  <si>
    <t>wafer_char</t>
  </si>
  <si>
    <t>CHAMBER AS `wafer_char#v1`,</t>
  </si>
  <si>
    <t>track in时间</t>
  </si>
  <si>
    <t>track out时间</t>
  </si>
  <si>
    <t>WAFER_START_TIME</t>
  </si>
  <si>
    <t>wafer加工开始时间</t>
  </si>
  <si>
    <t>晶圆加工开始时间</t>
  </si>
  <si>
    <t>wafer_start_time</t>
  </si>
  <si>
    <t>WAFER_START_TIME AS `wafer_start_time#v1`,</t>
  </si>
  <si>
    <t>WAFER_END_TIME</t>
  </si>
  <si>
    <t>wafer 加工结束时间</t>
  </si>
  <si>
    <t>晶圆加工结束时间</t>
  </si>
  <si>
    <t>wafer_end_time</t>
  </si>
  <si>
    <t>WAFER_END_TIME AS `wafer_end_time#v1`,</t>
  </si>
  <si>
    <t>QTIME_ID</t>
  </si>
  <si>
    <t>QTIME编码</t>
  </si>
  <si>
    <t>qtime编码</t>
  </si>
  <si>
    <t>qtime_code</t>
  </si>
  <si>
    <t>QTIME_ID AS `qtime_code#v1`,</t>
  </si>
  <si>
    <t>QTIME_KEY</t>
  </si>
  <si>
    <t>QTIME KEY</t>
  </si>
  <si>
    <t>qtime_key</t>
  </si>
  <si>
    <t>QTIME_KEY AS `qtime_key#v1`,</t>
  </si>
  <si>
    <t>QTIME_MODE</t>
  </si>
  <si>
    <t>QTIME限制类型（Max,Min)</t>
  </si>
  <si>
    <t>qtime限制类型</t>
  </si>
  <si>
    <t>qtime_mode</t>
  </si>
  <si>
    <t>varchar(30)</t>
  </si>
  <si>
    <t>QTIME_MODE AS `qtime_mode#v1`,</t>
  </si>
  <si>
    <t>START_TYPE</t>
  </si>
  <si>
    <t>QTIME开始标识</t>
  </si>
  <si>
    <t>qtime开始标识</t>
  </si>
  <si>
    <t>qtime_start_type</t>
  </si>
  <si>
    <t>START_TYPE AS `qtime_start_type#v1`,</t>
  </si>
  <si>
    <t>END_TYPE</t>
  </si>
  <si>
    <t>QTIME结束标识</t>
  </si>
  <si>
    <t>qtime结束标识</t>
  </si>
  <si>
    <t>qtime_end_type</t>
  </si>
  <si>
    <t>END_TYPE AS `qtime_end_type#v1`,</t>
  </si>
  <si>
    <t>UNIT</t>
  </si>
  <si>
    <t>单位</t>
  </si>
  <si>
    <t>qtime单位</t>
  </si>
  <si>
    <t>qtime_unit</t>
  </si>
  <si>
    <t>varchar(10)</t>
  </si>
  <si>
    <t>UNIT AS `qtime_unit#v1`,</t>
  </si>
  <si>
    <t>MAX_QTIME</t>
  </si>
  <si>
    <t>最大QTIME</t>
  </si>
  <si>
    <t>最大qtime</t>
  </si>
  <si>
    <t>qtime_max</t>
  </si>
  <si>
    <t>decimal(10,0)</t>
  </si>
  <si>
    <t>MAX_QTIME AS `qtime_max#v1`,</t>
  </si>
  <si>
    <t>MIN_QTIME</t>
  </si>
  <si>
    <t>最小QTIME</t>
  </si>
  <si>
    <t>最小qtime</t>
  </si>
  <si>
    <t>qtime_min</t>
  </si>
  <si>
    <t>MIN_QTIME AS `qtime_min#v1`,</t>
  </si>
  <si>
    <t>ERROER_ALARM_ID</t>
  </si>
  <si>
    <t>错误告警编号</t>
  </si>
  <si>
    <t>err_alarm_num</t>
  </si>
  <si>
    <t>ERROER_ALARM_ID AS `err_alarm_num#v1`,</t>
  </si>
  <si>
    <t>HOLD_CODE</t>
  </si>
  <si>
    <t>HOLD代码</t>
  </si>
  <si>
    <t>hole代码</t>
  </si>
  <si>
    <t>hole_code</t>
  </si>
  <si>
    <t>HOLD_CODE AS `hole_code#v1`,</t>
  </si>
  <si>
    <t>START_END_FLAG</t>
  </si>
  <si>
    <t>开始结束QTIME标志</t>
  </si>
  <si>
    <t>开始结束qtime标志</t>
  </si>
  <si>
    <t>qtime_start_end_flag</t>
  </si>
  <si>
    <t>varchar(2)</t>
  </si>
  <si>
    <t>START_END_FLAG AS `qtime_start_end_flag#v1`,</t>
  </si>
  <si>
    <t>DWS_QTIME_WAFER_HIST_SUMM_AGG_INCR</t>
  </si>
  <si>
    <t>START_ROUTE_ID</t>
  </si>
  <si>
    <t>QTIME起点route</t>
  </si>
  <si>
    <t>起点route</t>
  </si>
  <si>
    <t>start_route_code</t>
  </si>
  <si>
    <t>补充算法所需特征</t>
  </si>
  <si>
    <t>START_STEP_ID</t>
  </si>
  <si>
    <t>QTIME起点step ID</t>
  </si>
  <si>
    <t>起点step</t>
  </si>
  <si>
    <t>start_step_code</t>
  </si>
  <si>
    <t>START_STEP_NUM</t>
  </si>
  <si>
    <t>QTIME起点step编号</t>
  </si>
  <si>
    <t>起点step编号</t>
  </si>
  <si>
    <t>start_step_num</t>
  </si>
  <si>
    <t>START_STEP_DESC</t>
  </si>
  <si>
    <t>QTIME起点step描述</t>
  </si>
  <si>
    <t>起点step描述</t>
  </si>
  <si>
    <t>start_step_desc</t>
  </si>
  <si>
    <t>START_SRC_NO</t>
  </si>
  <si>
    <t>QTIME起点split_runcard编号</t>
  </si>
  <si>
    <t>起点split_runcard编号</t>
  </si>
  <si>
    <t>start_split_runcard_num</t>
  </si>
  <si>
    <t>START_RRC_NO</t>
  </si>
  <si>
    <t>QTIME起点recovery_runcard编号</t>
  </si>
  <si>
    <t>起点recovery_runcard编号</t>
  </si>
  <si>
    <t>start_recovery_runcard_code</t>
  </si>
  <si>
    <t>START_LOT_ID</t>
  </si>
  <si>
    <t>QTIME起点lot编号</t>
  </si>
  <si>
    <t>起点lot</t>
  </si>
  <si>
    <t>start_lot_code</t>
  </si>
  <si>
    <t>START_EQP_ID</t>
  </si>
  <si>
    <t>QTIME起点机台</t>
  </si>
  <si>
    <t>起点机台</t>
  </si>
  <si>
    <t>start_eqp_code</t>
  </si>
  <si>
    <t>START_CHAMBER</t>
  </si>
  <si>
    <t>QTIME起点腔室</t>
  </si>
  <si>
    <t>起点腔室记录</t>
  </si>
  <si>
    <t>start_wafer_char</t>
  </si>
  <si>
    <t>START_TRACK_IN_TIME</t>
  </si>
  <si>
    <t>QTIME起点track_in时间</t>
  </si>
  <si>
    <t>起点track_in时间</t>
  </si>
  <si>
    <t>start_track_in_time</t>
  </si>
  <si>
    <t>START_TRACK_OUT_TIME</t>
  </si>
  <si>
    <t>QTIME起点track_out时间</t>
  </si>
  <si>
    <t>起点track_out时间</t>
  </si>
  <si>
    <t>start_track_out_time</t>
  </si>
  <si>
    <t>START_WAFER_START_TIME</t>
  </si>
  <si>
    <t>QTIME起点晶圆加工开始时间</t>
  </si>
  <si>
    <t>起点晶圆加工开始时间</t>
  </si>
  <si>
    <t>start_wafer_start_time</t>
  </si>
  <si>
    <t>START_WAFER_END_TIME</t>
  </si>
  <si>
    <t>QTIME起点晶圆加工结束时间</t>
  </si>
  <si>
    <t>起点晶圆加工结束时间</t>
  </si>
  <si>
    <t>start_wafer_end_time</t>
  </si>
  <si>
    <t>QTIME_TRACK_IN_TRACK_OUT</t>
  </si>
  <si>
    <t>实际qtime秒数=终点track_in-起点track_out</t>
  </si>
  <si>
    <t>qtime进出站秒数</t>
  </si>
  <si>
    <t>qtime_track_in_track_out_sec</t>
  </si>
  <si>
    <t>QTIME_TRACK_IN_WAFER_END</t>
  </si>
  <si>
    <t>实际qtime秒数=终点track_in-起点晶圆加工结束</t>
  </si>
  <si>
    <t>qtime进站加工完秒数</t>
  </si>
  <si>
    <t>qtime_track_in_wafer_end_sec</t>
  </si>
  <si>
    <t>QTIME_WAFER_START_TRACK_OUT</t>
  </si>
  <si>
    <t>实际qtime秒数=终点晶圆加工开始-起点track_out</t>
  </si>
  <si>
    <t>qtime加工起出站秒数</t>
  </si>
  <si>
    <t>qtime_wafer_start_track_out_sec</t>
  </si>
  <si>
    <t>QTIME_WAFER_START_WAFER_END</t>
  </si>
  <si>
    <t>实际qtime秒数=终点晶圆加工开始-起点晶圆加工结束</t>
  </si>
  <si>
    <t>qtime加工间隔秒数</t>
  </si>
  <si>
    <t>qtime_wafer_start_wafer_end_sec</t>
  </si>
  <si>
    <t>QTIME_UNIT</t>
  </si>
  <si>
    <t>实测时长单位(固定Second)</t>
  </si>
  <si>
    <t>qtime实测单位</t>
  </si>
  <si>
    <t>qtime_measure_unit</t>
  </si>
  <si>
    <t>NO_START_FLAG</t>
  </si>
  <si>
    <t>无起点标志:1=有终无起,0=已配对</t>
  </si>
  <si>
    <t>无起点标志</t>
  </si>
  <si>
    <t>no_start_flag</t>
  </si>
  <si>
    <t>OVERTIME_TRACK_IN_TRACK_OUT_FLAG</t>
  </si>
  <si>
    <t>进出站口径超时:1超时/0正常</t>
  </si>
  <si>
    <t>进出站超时标志</t>
  </si>
  <si>
    <t>overtime_track_in_track_out_flag</t>
  </si>
  <si>
    <t>OVERTIME_TRACK_IN_WAFER_END_FLAG</t>
  </si>
  <si>
    <t>进站加工完口径超时</t>
  </si>
  <si>
    <t>进站加工完超时标志</t>
  </si>
  <si>
    <t>overtime_track_in_wafer_end_flag</t>
  </si>
  <si>
    <t>OVERTIME_WAFER_START_TRACK_OUT_FLAG</t>
  </si>
  <si>
    <t>加工起出站口径超时</t>
  </si>
  <si>
    <t>加工起出站超时标志</t>
  </si>
  <si>
    <t>overtime_wafer_start_track_out_flag</t>
  </si>
  <si>
    <t>OVERTIME_WAFER_START_WAFER_END_FLAG</t>
  </si>
  <si>
    <t>加工间隔口径超时</t>
  </si>
  <si>
    <t>加工间隔超时标志</t>
  </si>
  <si>
    <t>overtime_wafer_start_wafer_end_flag</t>
  </si>
  <si>
    <t>唯一分类编码</t>
  </si>
  <si>
    <t>unique_bin_code</t>
  </si>
  <si>
    <t>ODS_YMS_T_COMM_DEFECT_CALSSIFY_CONF_FULL</t>
  </si>
  <si>
    <t>bin_name</t>
  </si>
  <si>
    <t>varchar(256)</t>
  </si>
  <si>
    <t>BIN_NAME AS bin_name,</t>
  </si>
  <si>
    <t>分类编码</t>
  </si>
  <si>
    <t>bin_code</t>
  </si>
  <si>
    <t>varchar(80)</t>
  </si>
  <si>
    <t>BIN_NUMBER AS bin_code,</t>
  </si>
  <si>
    <t>bin_type</t>
  </si>
  <si>
    <t>BIN_TYPE AS bin_type,</t>
  </si>
  <si>
    <t>BIN_PRIORITY</t>
  </si>
  <si>
    <t>分类优先级</t>
  </si>
  <si>
    <t>bin_priority</t>
  </si>
  <si>
    <t>BIN_PRIORITY AS bin_priority,</t>
  </si>
  <si>
    <t>FAB AS fac_code,</t>
  </si>
  <si>
    <t>CREATED_TIME</t>
  </si>
  <si>
    <t>created_time</t>
  </si>
  <si>
    <t>CREATED_TIME AS created_time,</t>
  </si>
  <si>
    <t>REMARK</t>
  </si>
  <si>
    <t>remark</t>
  </si>
  <si>
    <t>REMARK AS remark,</t>
  </si>
  <si>
    <t>LAST_UPDATED_BY</t>
  </si>
  <si>
    <t>更新编码</t>
  </si>
  <si>
    <t>updated_code</t>
  </si>
  <si>
    <t>LAST_UPDATED_BY AS updated_code,</t>
  </si>
  <si>
    <t>LAST_UPDATED_BY_NAME</t>
  </si>
  <si>
    <t>更新名称</t>
  </si>
  <si>
    <t>updated_name</t>
  </si>
  <si>
    <t>LAST_UPDATED_BY_NAME AS updated_name,</t>
  </si>
  <si>
    <t>CREATED_BY</t>
  </si>
  <si>
    <t>创建编码</t>
  </si>
  <si>
    <t>created_code</t>
  </si>
  <si>
    <t>CREATED_BY AS created_code,</t>
  </si>
  <si>
    <t>CREATED_BY_NAME</t>
  </si>
  <si>
    <t>创建名称</t>
  </si>
  <si>
    <t>created_name</t>
  </si>
  <si>
    <t>CREATED_BY_NAME AS created_name,</t>
  </si>
  <si>
    <t xml:space="preserve"> AS _code_,</t>
  </si>
  <si>
    <t>唯一step编码</t>
  </si>
  <si>
    <t>unique_step_code</t>
  </si>
  <si>
    <t>flow_code下划线拼接step_code</t>
  </si>
  <si>
    <t>DWS_WIP_PROD_FLOW_STEP_INTG_FULL</t>
  </si>
  <si>
    <t>step编码</t>
  </si>
  <si>
    <t>STEP_ID AS step_code,</t>
  </si>
  <si>
    <t>STEP编号</t>
  </si>
  <si>
    <t>step序号</t>
  </si>
  <si>
    <t>STEP_NUM AS step_num,</t>
  </si>
  <si>
    <t>STEP描述</t>
  </si>
  <si>
    <t>STEP_DESC AS step_desc,</t>
  </si>
  <si>
    <t>STEP_TYPE</t>
  </si>
  <si>
    <t>STEP类型</t>
  </si>
  <si>
    <t>step类型</t>
  </si>
  <si>
    <t>step_type</t>
  </si>
  <si>
    <t>STEP_TYPE AS step_type,</t>
  </si>
  <si>
    <t>STAGE_ID AS stage_code,</t>
  </si>
  <si>
    <t>FAB_SITE AS fac_site,</t>
  </si>
  <si>
    <t>产品ID</t>
  </si>
  <si>
    <t>PRODUCT_ID AS product_code,</t>
  </si>
  <si>
    <t>PRODUCT_TYPE</t>
  </si>
  <si>
    <t>产品类型</t>
  </si>
  <si>
    <t>所属产品类型</t>
  </si>
  <si>
    <t>PRODUCT_TYPE AS product_type,</t>
  </si>
  <si>
    <t>FLOW ID</t>
  </si>
  <si>
    <t>FLOW_ID AS flow_code,</t>
  </si>
  <si>
    <t>ROUTE ID</t>
  </si>
  <si>
    <t>ROUTE_ID AS route_code,</t>
  </si>
  <si>
    <t>MODULE_ID</t>
  </si>
  <si>
    <t>MODULE ID</t>
  </si>
  <si>
    <t>module编码</t>
  </si>
  <si>
    <t>module_code</t>
  </si>
  <si>
    <t>MODULE_ID AS module_code,</t>
  </si>
  <si>
    <t>CAPBILITY</t>
  </si>
  <si>
    <t>capability</t>
  </si>
  <si>
    <t>CAPBILITY AS capability,</t>
  </si>
  <si>
    <t>UPDATE_TIME AS update_time,</t>
  </si>
  <si>
    <t>CREATE_TIME AS create_time,</t>
  </si>
  <si>
    <t>PROC_TIME AS proc_time,</t>
  </si>
  <si>
    <t>sof</t>
  </si>
  <si>
    <t>DIM_WIP_PROD_INFO_FULL</t>
  </si>
  <si>
    <t>dwd_wip_flow_step_incr</t>
  </si>
  <si>
    <t>recipe</t>
  </si>
  <si>
    <t>路宽,Impact Lot</t>
  </si>
  <si>
    <t>唯一unionque编码</t>
  </si>
  <si>
    <t>ads_ffs_feature_fact_sof_rti</t>
  </si>
  <si>
    <t>路宽机台总数</t>
  </si>
  <si>
    <t>lw_eqp_total</t>
  </si>
  <si>
    <t>可用路宽机台总数</t>
  </si>
  <si>
    <t>lw_eqp_avail_count</t>
  </si>
  <si>
    <t>不可用路宽机台总数</t>
  </si>
  <si>
    <t>lw_eqp_unavail_count</t>
  </si>
  <si>
    <t>可用黄金路宽机台总数</t>
  </si>
  <si>
    <t>lw_golden_eqp_avail_count</t>
  </si>
  <si>
    <t>不可用黄金路宽机台总数</t>
  </si>
  <si>
    <t>lw_golden_eqp_unavail_count</t>
  </si>
  <si>
    <t>路宽风险</t>
  </si>
  <si>
    <t>lw_risk</t>
  </si>
  <si>
    <t>路宽机台code</t>
  </si>
  <si>
    <t>lw_eqp_code</t>
  </si>
  <si>
    <t>group concat，明细表单,列表</t>
  </si>
  <si>
    <t>ads_ffs_defectd_dim_rt</t>
  </si>
  <si>
    <t xml:space="preserve">DWD_DEFECT_SCAN_DETAIL_INCR
</t>
  </si>
  <si>
    <t>唯一键</t>
  </si>
  <si>
    <t>INSP_WAFER_ID</t>
  </si>
  <si>
    <t>对应wafer＋inspection starttime 唯一键</t>
  </si>
  <si>
    <t>检测晶圆编码</t>
  </si>
  <si>
    <t>insp_wafer_code</t>
  </si>
  <si>
    <t>INSP_WAFER_ID AS `insp_wafer_code#v1`,</t>
  </si>
  <si>
    <t>INSP_START_TIME</t>
  </si>
  <si>
    <t>scan开始的时间</t>
  </si>
  <si>
    <t>检测开始时间</t>
  </si>
  <si>
    <t>insp_start_time</t>
  </si>
  <si>
    <t>INSP_START_TIME AS `insp_start_time#v1`,</t>
  </si>
  <si>
    <t>INSP_END_TIME</t>
  </si>
  <si>
    <t>klarf文件产生的时间</t>
  </si>
  <si>
    <t>insp_end_time</t>
  </si>
  <si>
    <t>INSP_END_TIME AS `insp_end_time#v1`,</t>
  </si>
  <si>
    <t>产品ID，4位产品</t>
  </si>
  <si>
    <t>批次号</t>
  </si>
  <si>
    <t>PRIORITY</t>
  </si>
  <si>
    <t>拼接优先级（包括　internal priority）</t>
  </si>
  <si>
    <t>PRIORITY AS `priority#v1`,</t>
  </si>
  <si>
    <t>step id</t>
  </si>
  <si>
    <t>STPE_NUMBER</t>
  </si>
  <si>
    <t>step number</t>
  </si>
  <si>
    <t>STPE_NUMBER AS `step_num#v1`,</t>
  </si>
  <si>
    <t>扫描机台的编号，例如KLA8935_01</t>
  </si>
  <si>
    <t>SLOT</t>
  </si>
  <si>
    <t>foup上的槽位</t>
  </si>
  <si>
    <t>SLOT AS `slot#v1`,</t>
  </si>
  <si>
    <t>recipr id</t>
  </si>
  <si>
    <t>TECH_ID</t>
  </si>
  <si>
    <t>tech id</t>
  </si>
  <si>
    <t>TECH_ID AS `tech_code#v1`,</t>
  </si>
  <si>
    <t>lot_id + klarf_wafer_id</t>
  </si>
  <si>
    <t>WAFER_DIAMETER</t>
  </si>
  <si>
    <t>晶圆直径，单位毫米</t>
  </si>
  <si>
    <t>晶圆直径</t>
  </si>
  <si>
    <t>wafer_diameter</t>
  </si>
  <si>
    <t>WAFER_DIAMETER AS `wafer_diameter#v1`,</t>
  </si>
  <si>
    <t>DEFECT_ID</t>
  </si>
  <si>
    <t>klf档案中的defect id</t>
  </si>
  <si>
    <t>缺陷编码</t>
  </si>
  <si>
    <t>defect_code</t>
  </si>
  <si>
    <t>DEFECT_ID AS `defect_code#v1`,</t>
  </si>
  <si>
    <t>TEST_NUM</t>
  </si>
  <si>
    <t>test num</t>
  </si>
  <si>
    <t>test_num</t>
  </si>
  <si>
    <t>TEST_NUM AS `test_num#v1`,</t>
  </si>
  <si>
    <t>BIN_CLASS_TYPE</t>
  </si>
  <si>
    <t>class类型</t>
  </si>
  <si>
    <t>BIN_CLASS_TYPE AS `class_type#v1`,</t>
  </si>
  <si>
    <t>class编号</t>
  </si>
  <si>
    <t>XSIZE</t>
  </si>
  <si>
    <t>x方向上defect尺寸，nm</t>
  </si>
  <si>
    <t>x方向缺陷尺寸</t>
  </si>
  <si>
    <t>x_defect_size</t>
  </si>
  <si>
    <t>XSIZE AS `x_defect_size#v1`,</t>
  </si>
  <si>
    <t>YSIZE</t>
  </si>
  <si>
    <t>y方向上defect尺寸，nm</t>
  </si>
  <si>
    <t>y方向缺陷尺寸</t>
  </si>
  <si>
    <t>y_defect_size</t>
  </si>
  <si>
    <t>YSIZE AS `y_defect_size#v1`,</t>
  </si>
  <si>
    <t>DEFECT_AREA</t>
  </si>
  <si>
    <t>defect面积</t>
  </si>
  <si>
    <t>缺陷面积</t>
  </si>
  <si>
    <t>defect_area</t>
  </si>
  <si>
    <t>DEFECT_AREA AS `defect_area#v1`,</t>
  </si>
  <si>
    <t>DEFECT_SIZE</t>
  </si>
  <si>
    <t>defect大小</t>
  </si>
  <si>
    <t>缺陷大小</t>
  </si>
  <si>
    <t>defect_size</t>
  </si>
  <si>
    <t>DEFECT_SIZE AS `defect_size#v1`,</t>
  </si>
  <si>
    <t>IMAGE_PATH</t>
  </si>
  <si>
    <t>review的image存放路径</t>
  </si>
  <si>
    <t>图片路径</t>
  </si>
  <si>
    <t>image_path</t>
  </si>
  <si>
    <t>IMAGE_PATH AS `image_path#v1`,</t>
  </si>
  <si>
    <t>IMAGE_COUNT</t>
  </si>
  <si>
    <t>照片张数</t>
  </si>
  <si>
    <t>图片张数</t>
  </si>
  <si>
    <t>image_count</t>
  </si>
  <si>
    <t>IMAGE_COUNT AS `image_count#v1`,</t>
  </si>
  <si>
    <t>XREL</t>
  </si>
  <si>
    <t>defect在die上的x方向坐标，nm</t>
  </si>
  <si>
    <t>defect在die上的x方向坐标</t>
  </si>
  <si>
    <t>x_defect_rel</t>
  </si>
  <si>
    <t>XREL AS `x_defect_rel#v1`,</t>
  </si>
  <si>
    <t>YREL</t>
  </si>
  <si>
    <t>defect在die上的y方向坐标，nm</t>
  </si>
  <si>
    <t>defect在die上的y方向坐标</t>
  </si>
  <si>
    <t>y_defect_rel</t>
  </si>
  <si>
    <t>YREL AS `y_defect_rel#v1`,</t>
  </si>
  <si>
    <t>XINDEX</t>
  </si>
  <si>
    <t>defect所在die的x坐标</t>
  </si>
  <si>
    <t>x_defect_index</t>
  </si>
  <si>
    <t>XINDEX AS `x_defect_index#v1`,</t>
  </si>
  <si>
    <t>YINDEX</t>
  </si>
  <si>
    <t>defect所在die的y坐标</t>
  </si>
  <si>
    <t>y_defect_index</t>
  </si>
  <si>
    <t>YINDEX AS `y_defect_index#v1`,</t>
  </si>
  <si>
    <t>REVIEW_SAMPLE</t>
  </si>
  <si>
    <t>复查采样标识</t>
  </si>
  <si>
    <t>review_sample</t>
  </si>
  <si>
    <t>REVIEW_SAMPLE AS `review_sample#v1`,</t>
  </si>
  <si>
    <t>CLUSTER_ID</t>
  </si>
  <si>
    <t>cluster id</t>
  </si>
  <si>
    <t>缺陷簇编码</t>
  </si>
  <si>
    <t>cluster_code</t>
  </si>
  <si>
    <t>CLUSTER_ID AS `cluster_code#v1`,</t>
  </si>
  <si>
    <t>CLUSTER_NUMBER</t>
  </si>
  <si>
    <t>cluster defect id</t>
  </si>
  <si>
    <t>缺陷簇编号</t>
  </si>
  <si>
    <t>cluster_num</t>
  </si>
  <si>
    <t>CLUSTER_NUMBER AS `cluster_num#v1`,</t>
  </si>
  <si>
    <t>CLUSTER_TYPE</t>
  </si>
  <si>
    <t>缺陷簇类型</t>
  </si>
  <si>
    <t>cluster_type</t>
  </si>
  <si>
    <t>CLUSTER_TYPE AS `cluster_type#v1`,</t>
  </si>
  <si>
    <t>CONTRAST</t>
  </si>
  <si>
    <t>图像对比度</t>
  </si>
  <si>
    <t>contrast_value</t>
  </si>
  <si>
    <t>CONTRAST AS `contrast_value#v1`,</t>
  </si>
  <si>
    <t>CHANNEL_ID</t>
  </si>
  <si>
    <t>检测通道标识</t>
  </si>
  <si>
    <t>channel_code</t>
  </si>
  <si>
    <t>CHANNEL_ID AS `channel_code#v1`,</t>
  </si>
  <si>
    <t>INTENSITY</t>
  </si>
  <si>
    <t>信号原始强度值</t>
  </si>
  <si>
    <t>intensity_value</t>
  </si>
  <si>
    <t>INTENSITY AS `intensity_value#v1`,</t>
  </si>
  <si>
    <t>KILL_PROB</t>
  </si>
  <si>
    <t>致命缺陷概率</t>
  </si>
  <si>
    <t>kill_probability</t>
  </si>
  <si>
    <t>KILL_PROB AS `kill_probability#v1`,</t>
  </si>
  <si>
    <t>REGION_ID</t>
  </si>
  <si>
    <t>芯片区域</t>
  </si>
  <si>
    <t>region_code</t>
  </si>
  <si>
    <t>REGION_ID AS `region_code#v1`,</t>
  </si>
  <si>
    <t>EVENT_TYPE</t>
  </si>
  <si>
    <t>事件类型</t>
  </si>
  <si>
    <t>event_type</t>
  </si>
  <si>
    <t>EVENT_TYPE AS `event_type#v1`,</t>
  </si>
  <si>
    <t>EBR_LINE</t>
  </si>
  <si>
    <t>边缘光刻胶去除线</t>
  </si>
  <si>
    <t>ebr_line</t>
  </si>
  <si>
    <t>EBR_LINE AS `ebr_line#v1`,</t>
  </si>
  <si>
    <t>POLARITY</t>
  </si>
  <si>
    <t>缺陷极性</t>
  </si>
  <si>
    <t>polarity</t>
  </si>
  <si>
    <t>POLARITY AS `polarity#v1`,</t>
  </si>
  <si>
    <t>CRITICAL_AREA</t>
  </si>
  <si>
    <t>关键面积</t>
  </si>
  <si>
    <t>critical_area</t>
  </si>
  <si>
    <t>CRITICAL_AREA AS `critical_area#v1`,</t>
  </si>
  <si>
    <t>MANOPT_CLASS</t>
  </si>
  <si>
    <t>人工复审分类</t>
  </si>
  <si>
    <t>manopt_class</t>
  </si>
  <si>
    <t>MANOPT_CLASS AS `manopt_class#v1`,</t>
  </si>
  <si>
    <t>PHI</t>
  </si>
  <si>
    <t>极坐标角度</t>
  </si>
  <si>
    <t>phi</t>
  </si>
  <si>
    <t>PHI AS `phi#v1`,</t>
  </si>
  <si>
    <t>PCI</t>
  </si>
  <si>
    <t>探针卡检测</t>
  </si>
  <si>
    <t>pci</t>
  </si>
  <si>
    <t>PCI AS `pci#v1`,</t>
  </si>
  <si>
    <t>DCI_RANGE</t>
  </si>
  <si>
    <t>线复杂性</t>
  </si>
  <si>
    <t>line_complexity</t>
  </si>
  <si>
    <t>DCI_RANGE AS `line_complexity#v1`,</t>
  </si>
  <si>
    <t>缺陷关键性指数范围</t>
  </si>
  <si>
    <t>dci_range</t>
  </si>
  <si>
    <t xml:space="preserve"> AS `dci_range#v1`,</t>
  </si>
  <si>
    <t>IMAGE_TYPE</t>
  </si>
  <si>
    <t>图片类型</t>
  </si>
  <si>
    <t>image_type</t>
  </si>
  <si>
    <t>IMAGE_TYPE AS `image_type#v1`,</t>
  </si>
  <si>
    <t>1：有效</t>
  </si>
  <si>
    <t>最后修改时间</t>
  </si>
  <si>
    <t>数据处理时间</t>
  </si>
  <si>
    <t>Area</t>
  </si>
  <si>
    <t>扫描面积</t>
  </si>
  <si>
    <t>scan_area</t>
  </si>
  <si>
    <t>实体编码</t>
  </si>
  <si>
    <t>事实表长表or宽表</t>
  </si>
  <si>
    <t>宽表</t>
  </si>
  <si>
    <t>fop</t>
  </si>
  <si>
    <t>ioc</t>
  </si>
  <si>
    <t>soc</t>
  </si>
  <si>
    <t>metro</t>
  </si>
  <si>
    <t>ye on duty</t>
  </si>
  <si>
    <t>material</t>
  </si>
  <si>
    <t>晶圆批次</t>
  </si>
  <si>
    <t>chart limit</t>
  </si>
  <si>
    <t>chartlim</t>
  </si>
  <si>
    <t>在chart上定义不同管控图信息</t>
  </si>
  <si>
    <t>dl</t>
  </si>
  <si>
    <t>fab6</t>
  </si>
  <si>
    <t>未写数据</t>
  </si>
  <si>
    <t>dnch</t>
  </si>
  <si>
    <t>defect bin of chamber</t>
  </si>
  <si>
    <t>dboc</t>
  </si>
  <si>
    <t>chamber的defect bin信息</t>
  </si>
  <si>
    <t>算法</t>
  </si>
  <si>
    <t>part library</t>
  </si>
  <si>
    <t>partl</t>
  </si>
  <si>
    <t>Tool Knowledge</t>
  </si>
  <si>
    <t>watd</t>
  </si>
  <si>
    <t>metrod</t>
  </si>
  <si>
    <t>metrocd</t>
  </si>
  <si>
    <t>cpd</t>
  </si>
  <si>
    <t>qtimed</t>
  </si>
  <si>
    <t>defectd</t>
  </si>
  <si>
    <t>pm detail</t>
  </si>
  <si>
    <t>pm的明细信息</t>
  </si>
  <si>
    <t>mnt</t>
  </si>
  <si>
    <t>唯一记录编码</t>
  </si>
  <si>
    <t>ads_ffs_partl_dim_rt</t>
  </si>
  <si>
    <t>Equipment</t>
  </si>
  <si>
    <t>该 Part 实例所安装的设备编码，必填</t>
  </si>
  <si>
    <t>MES 只读</t>
  </si>
  <si>
    <t>Chamber</t>
  </si>
  <si>
    <t>该 Part 实例所安装的腔体编码，未安装到具体腔体时为空</t>
  </si>
  <si>
    <t>所属chamber</t>
  </si>
  <si>
    <t>chamber_code</t>
  </si>
  <si>
    <t>Part No.</t>
  </si>
  <si>
    <t>零部件料号，MES Part 主数据中零部件标准定义的唯一料号，一个料号可对应多个安装实例，1-50字符，必填</t>
  </si>
  <si>
    <t>零部件料号</t>
  </si>
  <si>
    <t>part_no</t>
  </si>
  <si>
    <t>Part 实例编号</t>
  </si>
  <si>
    <t>某料号在指定设备下的安装实例编号，唯一主键，同一设备下不允许重复，1-50字符，必填</t>
  </si>
  <si>
    <t>零部件实例编号</t>
  </si>
  <si>
    <t>part_instance_code</t>
  </si>
  <si>
    <t>Tool Knowledge 本地维护</t>
  </si>
  <si>
    <t>零部件名称</t>
  </si>
  <si>
    <t>零部件中文名称，1-50字符</t>
  </si>
  <si>
    <t>part_name</t>
  </si>
  <si>
    <t>零部件英文名称</t>
  </si>
  <si>
    <t>零部件英文名称，如 Upper Electrode，1-50字符</t>
  </si>
  <si>
    <t>part_name_en</t>
  </si>
  <si>
    <t>零部件简称</t>
  </si>
  <si>
    <t>零部件简称，1-50字符</t>
  </si>
  <si>
    <t>part_short_name</t>
  </si>
  <si>
    <t>外部系统零部件分类编码</t>
  </si>
  <si>
    <t>外部系统（MES/PTS）对该零部件的分类编码，1-50字符</t>
  </si>
  <si>
    <t>ext_category_code</t>
  </si>
  <si>
    <t>外部系统零部件分类名称</t>
  </si>
  <si>
    <t>外部系统（MES/PTS）对该零部件的分类名称，如 Process Kit、Gas Delivery，1-50字符</t>
  </si>
  <si>
    <t>ext_category_name</t>
  </si>
  <si>
    <t>计量单位</t>
  </si>
  <si>
    <t>零部件计量单位，下拉选择，如 EA、SET、PCS</t>
  </si>
  <si>
    <t>uom</t>
  </si>
  <si>
    <t>规格型号</t>
  </si>
  <si>
    <t>零部件规格型号，1-50字符</t>
  </si>
  <si>
    <t>spec_model</t>
  </si>
  <si>
    <t>基础管理模式</t>
  </si>
  <si>
    <t>零部件基础管理模式，取值 instance=单件实例管理、package=普通包级管理、instance_in_package=包内实例管理</t>
  </si>
  <si>
    <t>base_manage_mode</t>
  </si>
  <si>
    <t>料号类型</t>
  </si>
  <si>
    <t>零部件料号类型，取值 standard=标准、assembly=组装</t>
  </si>
  <si>
    <t>part_no_type</t>
  </si>
  <si>
    <t>管控类型</t>
  </si>
  <si>
    <t>零部件管控类型，取值 sn=序列号、qty=数量</t>
  </si>
  <si>
    <t>control_type</t>
  </si>
  <si>
    <t>是否为消耗品</t>
  </si>
  <si>
    <t>该零部件是否为消耗品，取值：是、否、未知，默认否</t>
  </si>
  <si>
    <t>is_consumable</t>
  </si>
  <si>
    <t>参考单价</t>
  </si>
  <si>
    <t>零部件参考单价</t>
  </si>
  <si>
    <t>ref_unit_price</t>
  </si>
  <si>
    <t>decimal(18,4)</t>
  </si>
  <si>
    <t>原厂料号</t>
  </si>
  <si>
    <t>零部件原厂（OEM）料号，1-50字符</t>
  </si>
  <si>
    <t>oem_part_no</t>
  </si>
  <si>
    <t>供应商料号</t>
  </si>
  <si>
    <t>零部件供应商料号，1-50字符</t>
  </si>
  <si>
    <t>vendor_part_no</t>
  </si>
  <si>
    <t>标准件</t>
  </si>
  <si>
    <t>该 Part 实例是否为 MES 标记的标准件（Golden），取值 Golden、无，只读不可人工标记</t>
  </si>
  <si>
    <t>是否标准件</t>
  </si>
  <si>
    <t>is_golden</t>
  </si>
  <si>
    <t>MES 只读；PRD 3.2 写「part实例 标准件取消」但原型仍展示，待确认</t>
  </si>
  <si>
    <t>数据来源</t>
  </si>
  <si>
    <t>该 Part 的来源系统，取值如 MES 同步、PTS 同步、本地新增</t>
  </si>
  <si>
    <t>data_source</t>
  </si>
  <si>
    <t>ads_ffs_feature_fact_partl_rti</t>
  </si>
  <si>
    <t>状态</t>
  </si>
  <si>
    <t>零部件实例状态，下拉选择：草稿、已发布、待完善，默认已发布，必填</t>
  </si>
  <si>
    <t>零部件状态</t>
  </si>
  <si>
    <t>part_status</t>
  </si>
  <si>
    <t>当前版本</t>
  </si>
  <si>
    <t>该版本快照的版本号，每次修改形成不可变快照，格式 v主版本.次版本，新增固定 v1.0</t>
  </si>
  <si>
    <t>当前版本号</t>
  </si>
  <si>
    <t>part_version</t>
  </si>
  <si>
    <t>该版本是否为当前版本指针所指向的最新版本，取值 Y、N</t>
  </si>
  <si>
    <t>是否最新版本</t>
  </si>
  <si>
    <t>is_latest_version</t>
  </si>
  <si>
    <t>该版本快照的保存时间</t>
  </si>
  <si>
    <t>版本保存时间</t>
  </si>
  <si>
    <t>version_save_time</t>
  </si>
  <si>
    <t>说明</t>
  </si>
  <si>
    <t>该零部件实例的现场说明，0-2000字符，必填</t>
  </si>
  <si>
    <t>零部件说明</t>
  </si>
  <si>
    <t>part_desc</t>
  </si>
  <si>
    <t>变更内容</t>
  </si>
  <si>
    <t>本次修改的原因或内容说明，修改时必填，5-500字符；新增时为空</t>
  </si>
  <si>
    <t>change_content</t>
  </si>
  <si>
    <t>特征参数</t>
  </si>
  <si>
    <t>该版本下的全部特征参数，列表形式，每个元素包含参数名称（name）、参数值（value）、说明（desc，多用于填写单位如 μm、mm）、数据来源（source）；参数名称由用户自由扩展，同一版本内不重名，最多 20 组</t>
  </si>
  <si>
    <t>特征参数列表</t>
  </si>
  <si>
    <t>param_list</t>
  </si>
  <si>
    <t>零部件图片</t>
  </si>
  <si>
    <t>该版本下的全部零部件图片，列表形式，每个元素包含图片名称（name）、用途分类（category，如外观、关键特征、安装位置）、文件类型（type，JPG/JPEG/PNG）、存储地址（url）、图片说明（desc）；最多 10 张</t>
  </si>
  <si>
    <t>零部件图片列表</t>
  </si>
  <si>
    <t>image_list</t>
  </si>
  <si>
    <t>DIM_METRO_JOB_INFO_FULL</t>
  </si>
  <si>
    <t>唯一item编码</t>
  </si>
  <si>
    <t>unique_item_code</t>
  </si>
  <si>
    <t>ID AS unique_item_code,</t>
  </si>
  <si>
    <t>JOB_NAME</t>
  </si>
  <si>
    <t>任务名称</t>
  </si>
  <si>
    <t>JOB_NAME AS job_name,</t>
  </si>
  <si>
    <t>区域</t>
  </si>
  <si>
    <t>AREA AS area_code,</t>
  </si>
  <si>
    <t>SUB_JOB_TYPE</t>
  </si>
  <si>
    <t>子任务类型</t>
  </si>
  <si>
    <t>sub_job_type</t>
  </si>
  <si>
    <t>SUB_JOB_TYPE AS sub_job_type,</t>
  </si>
  <si>
    <t>INLINE_TYPE AS inline_type,</t>
  </si>
  <si>
    <t>ITEM_NAME AS item_name,</t>
  </si>
  <si>
    <t>ITEM_TYPE</t>
  </si>
  <si>
    <t>Process/OFFLINE/PARTICLE/Validation测试项类型</t>
  </si>
  <si>
    <t>item类型</t>
  </si>
  <si>
    <t>item_type</t>
  </si>
  <si>
    <t>ITEM_TYPE AS item_type,</t>
  </si>
  <si>
    <t>JOB_TYPE AS job_type,</t>
  </si>
  <si>
    <t>PROC_EQP_ID AS proc_eqp_code,</t>
  </si>
  <si>
    <t>TECHNOLOGY AS tech_code,</t>
  </si>
  <si>
    <t>量测STEP ID</t>
  </si>
  <si>
    <t>METRO_STEP_NUM AS metro_step_code,</t>
  </si>
  <si>
    <t>PROC_STEP_NUM AS proc_step_code,</t>
  </si>
  <si>
    <t>PROC_ROUTE_ID AS proc_route_code,</t>
  </si>
  <si>
    <t>加工reticle</t>
  </si>
  <si>
    <t>proc_reticle_code</t>
  </si>
  <si>
    <t>PROC_RECIPE_ID AS proc_reticle_code,</t>
  </si>
  <si>
    <t>capbility</t>
  </si>
  <si>
    <t>CAPBILITY AS capbility,</t>
  </si>
  <si>
    <t>加工腔室</t>
  </si>
  <si>
    <t>PROC_CHA_ID AS proc_cha_code,</t>
  </si>
  <si>
    <t>任务更新时间</t>
  </si>
  <si>
    <t>job_update_time</t>
  </si>
  <si>
    <t>UPDATE_TIME AS job_update_time,</t>
  </si>
  <si>
    <t>任务创建时间</t>
  </si>
  <si>
    <t>job_create_time</t>
  </si>
  <si>
    <t>CREATE_TIME AS job_create_time,</t>
  </si>
  <si>
    <t>任务处理时间</t>
  </si>
  <si>
    <t>job_proc_time</t>
  </si>
  <si>
    <t>PROC_TIME AS job_proc_time,</t>
  </si>
  <si>
    <t>【明细】晶圆全生命周期加工履历事实表　主键：event_id　粒度：wafer × step × 因子　　★本表不是「异常事件表」而是【加工履历表】：晶圆走过的每个 step 都入表。WIP 加工链路贡献【正常经过】与【重做】两类行；rework / qtime / ams / pm / spc / defect / wat / cp 各自按 event_type 拆成独立事件行。正常节点 factor_code 为空、不扣分；一个 step 挂 N 个异常即 N 行。这样它才是 wafer 级全生命周期的集大成实体，汇总②的生命周期与状态类字段方可由本表推出。　　本实体不设维表：product/tech 主数据数仓已有 DIM_WIP_PROD_INFO_FULL；lot/route_ver/step/机台/腔体 均为生产时才确定的事实；扣分因子配置需按 point-in-time 快照落库（配置中心可改版，只存当前值会导致历史分数无法复核）。故 特征类型 全为「事实表特征」，非遗漏</t>
  </si>
  <si>
    <t>来源(业务域: 表.字段);</t>
  </si>
  <si>
    <t>唯一事件编码</t>
  </si>
  <si>
    <t>event_id</t>
  </si>
  <si>
    <t>ads_ffs_feature_fact_wfresume_rti</t>
  </si>
  <si>
    <t>异常履历，异常详情</t>
  </si>
  <si>
    <t>MD5(wafer_code + event_type + factor_code + event_time + proc_step_code)；写入侧生成。★正常经过的节点(event_type=NORMAL、factor_code 为空)同样发 event_id——保证加工链路上每个 step 都有唯一挂载点，后续要追加规则、细节计数或下钻证据时直接挂到 event_id 上，不必回头改表结构</t>
  </si>
  <si>
    <t>wafer resume 0.7，Impact Lot，Common Tool</t>
  </si>
  <si>
    <t>分区字段，由 event_time 所属日派生</t>
  </si>
  <si>
    <t>spc: DWD_METRO_ITEM_VALUE_INCR.LOT_ID
defect: DWD_DEFECT_SCAN_DETAIL_INCR.LOT_ID
ams: DWD_WIP_WAFER_HIST_SUMM_INCR.LOT_ID
pm: DWD_WIP_WAFER_HIST_SUMM_INCR.LOT_ID
rework: DWD_WIP_WAFER_HIST_SUMM_INCR.LOT_ID
qtime: DWS_QTIME_WAFER_HIST_SUMM_AGG_INCR.END_LOT_ID
wat: DWD_WAT_ITEM_VALUE_INCR.LOT_ID
cp: DWD_CP_BIN_DETAIL_INCR.LOT_ID</t>
  </si>
  <si>
    <t>基础信息，异常履历，健康评分</t>
  </si>
  <si>
    <t>★查询永远带此过滤(D-001)。★ams/pm 本质是机台事件，与晶圆无直接关系——由 WIP 履历按「同 EQP + Alarm/PM 时间落在 track 前后窗口」匹配出关联晶圆，该匹配是本期新增加工逻辑（可落中间表，也可写入时直接 JOIN），但来源表 DWD_WIP_WAFER_HIST_SUMM_INCR 是 ddl.sql 已有真表，非新建</t>
  </si>
  <si>
    <t>LOT</t>
  </si>
  <si>
    <t>基础信息，异常详情</t>
  </si>
  <si>
    <t>ams/pm 随中间表的 wafer 关联一并带出</t>
  </si>
  <si>
    <t>wafer resume 0.7，Impact Lot,Common Tool</t>
  </si>
  <si>
    <t>spc: DWD_METRO_ITEM_VALUE_INCR.FAB
defect: DWD_DEFECT_SCAN_DETAIL_INCR.FAB
ams: DWD_WIP_WAFER_HIST_SUMM_INCR.FAB
pm: DWD_WIP_WAFER_HIST_SUMM_INCR.FAB
rework: DWD_WIP_WAFER_HIST_SUMM_INCR.FAB
qtime: DWS_QTIME_WAFER_HIST_SUMM_AGG_INCR.FAB
wat: DWD_WAT_ITEM_VALUE_INCR.FAB
cp: DWD_CP_BIN_DETAIL_INCR.FAB</t>
  </si>
  <si>
    <t>基础信息</t>
  </si>
  <si>
    <t>★8 类全覆盖。原先标注的「defect 缺 FAB」已消除：Defect 来源改为 P1 内的 DWD_DEFECT_SCAN_DETAIL_INCR，该表自带 FAB</t>
  </si>
  <si>
    <t>spc: DWD_METRO_ITEM_VALUE_INCR.PRODUCT_ID
defect: DWD_DEFECT_SCAN_DETAIL_INCR.PRODUCT_ID
ams: DWD_WIP_WAFER_HIST_SUMM_INCR.PRODUCT_ID
pm: DWD_WIP_WAFER_HIST_SUMM_INCR.PRODUCT_ID
rework: DWD_WIP_WAFER_HIST_SUMM_INCR.PRODUCT_ID
qtime: DWS_QTIME_WAFER_HIST_SUMM_AGG_INCR.PRODUCT_ID
wat: DWD_WAT_ITEM_VALUE_INCR.PRODUCT_ID
cp: DWD_CP_BIN_DETAIL_INCR.PRODUCT_ID</t>
  </si>
  <si>
    <t>上下文，页头展示</t>
  </si>
  <si>
    <t>spc: DWD_METRO_ITEM_VALUE_INCR.TECHNOLOGY
defect: DWD_DEFECT_SCAN_DETAIL_INCR.TECH_ID
ams: DIM_WIP_PROD_INFO_FULL.TECHNOLOGY
pm: DIM_WIP_PROD_INFO_FULL.TECHNOLOGY
rework: DIM_WIP_PROD_INFO_FULL.TECHNOLOGY
qtime: DIM_WIP_PROD_INFO_FULL.TECHNOLOGY
wat: DWD_WAT_ITEM_VALUE_INCR.TECHNOLOGY
cp: DIM_WIP_PROD_INFO_FULL.TECHNOLOGY</t>
  </si>
  <si>
    <t>★已查证：DWD_WIP_WAFER_HIST_SUMM_INCR 中【无 TECHNOLOGY 字段】(ddl.sql 该表共25字段)，故除 spc/defect/wat 三源自带外，其余一律 JOIN DIM_WIP_PROD_INFO_FULL 按 PRODUCT_ID 取</t>
  </si>
  <si>
    <t>spc: DWD_METRO_ITEM_VALUE_INCR.PROC_STEP_ID
defect: DWD_DEFECT_SCAN_DETAIL_INCR.STEP_ID
ams: DWD_WIP_WAFER_HIST_SUMM_INCR.STEP_ID
pm: DWD_WIP_WAFER_HIST_SUMM_INCR.STEP_ID
rework: DWD_WIP_WAFER_HIST_SUMM_INCR.STEP_ID
qtime: DWS_QTIME_WAFER_HIST_SUMM_AGG_INCR.END_STEP_ID
wat: DWD_WAT_ITEM_VALUE_INCR.STEP_ID
cp: —</t>
  </si>
  <si>
    <t>Step ID</t>
  </si>
  <si>
    <t>异常节点，异常详情，生命周期</t>
  </si>
  <si>
    <t>★一个 Step 挂多异常全靠它聚合。挂载规则按事件归属分三族：①晶圆结果事件(spc/defect/wat/cp)＝事件自身所在 step；②晶圆时间事件(qtime/rework)＝qtime 跨起止两个工步，★统一挂【终止工步 END_STEP_ID】(依据 PRD 报告示例将 Q-Time 挂在单节点 STEP 058、编号 QT-260704-058 与之对应)，起始工步 START_STEP_ID 进 ext 作上下文；③机台事件(ams/pm)＝事件属于机台不属于晶圆，取「该机台事件命中的那次加工」的 step，由与履历表的时间窗关联带出。cp 为终测无工艺 step。★D-017 已关闭：ADS_DEFECT_WAFER_SUMM_ANALY_INCR（WAFER 缺陷汇总分析表，由 DWD_DEFECT_SCAN_DETAIL_INCR 加工而来）自带 STEP_ID，Defect 的 step 定位不再需要改表</t>
  </si>
  <si>
    <t>cp 无 step</t>
  </si>
  <si>
    <t>spc: DWD_METRO_ITEM_VALUE_INCR.PROC_STEP_SEQ
defect: DWD_DEFECT_SCAN_DETAIL_INCR.STPE_NUMBER
ams: DWD_WIP_WAFER_HIST_SUMM_INCR.STEP_NUM
pm: DWD_WIP_WAFER_HIST_SUMM_INCR.STEP_NUM
rework: DWD_WIP_WAFER_HIST_SUMM_INCR.STEP_NUM
qtime: DWS_QTIME_WAFER_HIST_SUMM_AGG_INCR.END_STEP_NUM
wat: —
cp: —</t>
  </si>
  <si>
    <t>Step number</t>
  </si>
  <si>
    <t>proc_step_number</t>
  </si>
  <si>
    <t>异常节点，生命周期</t>
  </si>
  <si>
    <t>节点排序用。⚠defect 侧源字段拼写为 STPE_NUMBER（源表既有拼写，非笔误，AI Fab 模型 chart limit sheet 中同样如此），取数时按原名引用</t>
  </si>
  <si>
    <t>spc: DWD_METRO_ITEM_VALUE_INCR.PROC_STEP_DESC
defect: —
ams: DWD_WIP_WAFER_HIST_SUMM_INCR.STEP_DESC
pm: DWD_WIP_WAFER_HIST_SUMM_INCR.STEP_DESC
rework: DWD_WIP_WAFER_HIST_SUMM_INCR.STEP_DESC
qtime: DWS_QTIME_WAFER_HIST_SUMM_AGG_INCR.END_STEP_DESC
wat: —
cp: —</t>
  </si>
  <si>
    <t>Step描述</t>
  </si>
  <si>
    <t>异常节点，异常详情</t>
  </si>
  <si>
    <t>节点卡片展示</t>
  </si>
  <si>
    <t>spc: DWD_WIP_FLOW_STEP_INCR.MODULE_ID
defect: DWD_WIP_FLOW_STEP_INCR.MODULE_ID
ams: DWD_WIP_FLOW_STEP_INCR.MODULE_ID
pm: DWD_WIP_FLOW_STEP_INCR.MODULE_ID
rework: DWD_WIP_FLOW_STEP_INCR.MODULE_ID
qtime: DWD_WIP_FLOW_STEP_INCR.MODULE_ID
wat: DWD_WIP_FLOW_STEP_INCR.MODULE_ID
cp: DWD_WIP_FLOW_STEP_INCR.MODULE_ID</t>
  </si>
  <si>
    <t>Area / Module</t>
  </si>
  <si>
    <t>异常详情</t>
  </si>
  <si>
    <t>★【加工节点属性】8 类统一按 flow_id + proc_step_code 关联工步表取 MODULE_ID。⚠履历表 DWD_WIP_WAFER_HIST_SUMM_INCR 中无 AREA/MODULE 字段，故不走履历而走工步表；spc 源表自带 AREA、pm 源表自带 AREA/MODULE，可作交叉校验</t>
  </si>
  <si>
    <t>wafer resume 0.7，Common Tool</t>
  </si>
  <si>
    <t>与源表自带 AREA 口径需比对</t>
  </si>
  <si>
    <t>spc: DWD_WIP_WAFER_HIST_SUMM_INCR.EQP_ID
defect: DWD_WIP_WAFER_HIST_SUMM_INCR.EQP_ID
ams: DWD_WIP_WAFER_HIST_SUMM_INCR.EQP_ID
pm: DWD_WIP_WAFER_HIST_SUMM_INCR.EQP_ID
rework: DWD_WIP_WAFER_HIST_SUMM_INCR.EQP_ID
qtime: DWD_WIP_WAFER_HIST_SUMM_INCR.EQP_ID
wat: DWD_WIP_WAFER_HIST_SUMM_INCR.EQP_ID
cp: DWD_WIP_WAFER_HIST_SUMM_INCR.EQP_ID</t>
  </si>
  <si>
    <t>Eqp ID</t>
  </si>
  <si>
    <t>异常节点，异常详情，跳转</t>
  </si>
  <si>
    <t>★【加工节点属性】8 类统一按 wafer_code + proc_step_code 关联履历取，不各取各的。理由：本列语义是「异常发生时该晶圆用的哪台加工机」，只有 WIP 履历说了算。各业务源表里的机台字段是【关联键】不是加工机台——ams 的 EQP_ID 是报警机台、pm 的 EQP_ID 是保养机台、cp 的 TESTER 是测试机、defect 的 SCAN_EQP_ID 是扫描机台，语义各不相同，混填会让同一 step 的多行出现不同机台。各源的关联键另行入 ext</t>
  </si>
  <si>
    <t>spc: DWD_WIP_WAFER_HIST_SUMM_INCR.CHAMBER_FLOW
defect: DWD_WIP_WAFER_HIST_SUMM_INCR.CHAMBER_FLOW
ams: DWD_WIP_WAFER_HIST_SUMM_INCR.CHAMBER_FLOW
pm: DWD_WIP_WAFER_HIST_SUMM_INCR.CHAMBER_FLOW
rework: DWD_WIP_WAFER_HIST_SUMM_INCR.CHAMBER_FLOW
qtime: DWD_WIP_WAFER_HIST_SUMM_INCR.CHAMBER_FLOW
wat: DWD_WIP_WAFER_HIST_SUMM_INCR.CHAMBER_FLOW
cp: DWD_WIP_WAFER_HIST_SUMM_INCR.CHAMBER_FLOW</t>
  </si>
  <si>
    <t>Chamber ID</t>
  </si>
  <si>
    <t>★【加工节点属性】同 proc_eqp_code，8 类统一走履历。⚠CHAMBER_FLOW 是整条腔体串，须按 step 拆解取该步实际腔体。★(XX) 整机/腔室分流当前两条路都不通：① DWD_EQP_PMS_PLAN_FULL.PM_RANGE 列已建，但 数仓设计-OneStep 标注其来源为【未找到合适字段】，上游无映射；② ads_ffs_feature_fact_eqp_rti 虽有 next_plan_pm_scope / next_plan_pm_chamber，但属【下次计划保养】组，而 Post PM Window 判的是【上次保养】(last_pm_*)，该组仅 last_pm_time/int_d/dur_h/type 四字段，**无 scope 也无 chamber**。PM_RANGE 分【整机保养】与【腔室保养】两个类目，关联时须按类目分流：整机保养按 EQP_ID 匹配(窗口内该机台加工的所有晶圆命中)；腔室保养按 EQP_ID + CHAMBER 匹配(仅走过该腔室的晶圆命中)。一律按 EQP 会多算、一律按 CHAMBER 会漏算，直接影响 hit_count 与分数。⚠腔室级匹配依赖晶圆该 step 的实际腔体，而履历为 CHAMBER_FLOW 整串需先按 step 拆解。ams 无腔体字段(PRD：AMS 当前仅 EQP 级)</t>
  </si>
  <si>
    <t>ams/wat/cp 缺</t>
  </si>
  <si>
    <t>spc: ODS_YMS_T_WIP_WAFER_HISTORY_SUMMARY_INCR.RECIPE_ID
defect: ODS_YMS_T_WIP_WAFER_HISTORY_SUMMARY_INCR.RECIPE_ID
ams: ODS_YMS_T_WIP_WAFER_HISTORY_SUMMARY_INCR.RECIPE_ID
pm: ODS_YMS_T_WIP_WAFER_HISTORY_SUMMARY_INCR.RECIPE_ID
rework: ODS_YMS_T_WIP_WAFER_HISTORY_SUMMARY_INCR.RECIPE_ID
qtime: ODS_YMS_T_WIP_WAFER_HISTORY_SUMMARY_INCR.RECIPE_ID
wat: ODS_YMS_T_WIP_WAFER_HISTORY_SUMMARY_INCR.RECIPE_ID
cp: ODS_YMS_T_WIP_WAFER_HISTORY_SUMMARY_INCR.RECIPE_ID</t>
  </si>
  <si>
    <t>Recipe</t>
  </si>
  <si>
    <t>★【加工节点属性】改为随加工链路统一出口，不再各业务域各取一份。理由与 proc_eqp_code/proc_cha_code 相同：异常发生时该 step 用的哪个配方，只有加工履历说了算；各域自带的 recipe 语义不同(defect 的 RECIPE_ID 是扫描配方、cp 的 TEST_PROG_NAME 是测试程序)，混填会让同一 step 的多行出现不同配方，这些应作为各自的域内配方入 ext。★(XX) 数据侧需改造：ODS_YMS_T_WIP_WAFER_HISTORY_SUMMARY_INCR 已有 RECIPE_ID / RECIPE_VERSION / PHY_RECIPE_ID 三个字段，但 DWD_WIP_WAFER_HIST_SUMM_INCR 建表时未选出，需在 DWD 层补选后本列方可取数</t>
  </si>
  <si>
    <t>★DWD 层需补选 RECIPE_ID</t>
  </si>
  <si>
    <t>ODS 已有，DWD 漏选</t>
  </si>
  <si>
    <t>spc: DWD_WIP_WAFER_HIST_SUMM_INCR.TRACK_IN_TIME
defect: DWD_WIP_WAFER_HIST_SUMM_INCR.TRACK_IN_TIME
ams: DWD_WIP_WAFER_HIST_SUMM_INCR.TRACK_IN_TIME
pm: DWD_WIP_WAFER_HIST_SUMM_INCR.TRACK_IN_TIME
rework: DWD_WIP_WAFER_HIST_SUMM_INCR.TRACK_IN_TIME
qtime: DWD_WIP_WAFER_HIST_SUMM_INCR.TRACK_IN_TIME
wat: DWD_WIP_WAFER_HIST_SUMM_INCR.TRACK_IN_TIME
cp: DWD_WIP_WAFER_HIST_SUMM_INCR.TRACK_IN_TIME</t>
  </si>
  <si>
    <t>Track in</t>
  </si>
  <si>
    <t>进站时间</t>
  </si>
  <si>
    <t>★【加工节点属性，不是异常属性】8 类统一按 wafer_code + proc_step_code 关联履历取。理由：同一个 step 上可能同时发生多条异常（明细表 3 行），这 3 行必须显示同一个进站时间；若各分支从自己源表取，同 step 的多行会出现不一致的时间。履历 event 记录了全部加工明细不遗漏，是 step 上下文的唯一出处。同时它是 ams/pm 判窗口命中的基准时点（PM：track_in 落在 PM_END_TIME + N 小时内即命中）</t>
  </si>
  <si>
    <t>wafer resume 0.7，Impact Lot</t>
  </si>
  <si>
    <t>spc: DWD_WIP_WAFER_HIST_SUMM_INCR.TRACK_OUT_TIME
defect: DWD_WIP_WAFER_HIST_SUMM_INCR.TRACK_OUT_TIME
ams: DWD_WIP_WAFER_HIST_SUMM_INCR.TRACK_OUT_TIME
pm: DWD_WIP_WAFER_HIST_SUMM_INCR.TRACK_OUT_TIME
rework: DWD_WIP_WAFER_HIST_SUMM_INCR.TRACK_OUT_TIME
qtime: DWD_WIP_WAFER_HIST_SUMM_INCR.TRACK_OUT_TIME
wat: DWD_WIP_WAFER_HIST_SUMM_INCR.TRACK_OUT_TIME
cp: DWD_WIP_WAFER_HIST_SUMM_INCR.TRACK_OUT_TIME</t>
  </si>
  <si>
    <t>Track out</t>
  </si>
  <si>
    <t>出站时间</t>
  </si>
  <si>
    <t>同 track_in_time，8 类统一走履历。AMS 窗口按 track in/out 前后各算，故需两端</t>
  </si>
  <si>
    <t>spc: DWD_WIP_FLOW_STEP_INCR.STEP_TYPE
defect: DWD_WIP_FLOW_STEP_INCR.STEP_TYPE
ams: DWD_WIP_FLOW_STEP_INCR.STEP_TYPE
pm: DWD_WIP_FLOW_STEP_INCR.STEP_TYPE
rework: DWD_WIP_FLOW_STEP_INCR.STEP_TYPE
qtime: DWD_WIP_FLOW_STEP_INCR.STEP_TYPE
wat: DWD_WIP_FLOW_STEP_INCR.STEP_TYPE
cp: DWD_WIP_FLOW_STEP_INCR.STEP_TYPE</t>
  </si>
  <si>
    <t>节点类型</t>
  </si>
  <si>
    <t>stage_type</t>
  </si>
  <si>
    <t>★工艺加工 / WAT / CP。本表是 wafer 全生命周期履历，WAT 与 CP 作为测试阶段节点一并入表，使汇总②的 wat_status / wat_end_time / cp_status / cp_end_time 可由本表推出，不必再旁路 WAT/CP 原始表</t>
  </si>
  <si>
    <t>spc: ODS_YMS_T_DMS_WAFER_RAW_INFO_INCR.WAFER_DIAMETER
defect: ODS_YMS_T_DMS_WAFER_RAW_INFO_INCR.WAFER_DIAMETER
ams: ODS_YMS_T_DMS_WAFER_RAW_INFO_INCR.WAFER_DIAMETER
pm: ODS_YMS_T_DMS_WAFER_RAW_INFO_INCR.WAFER_DIAMETER
rework: ODS_YMS_T_DMS_WAFER_RAW_INFO_INCR.WAFER_DIAMETER
qtime: ODS_YMS_T_DMS_WAFER_RAW_INFO_INCR.WAFER_DIAMETER
wat: ODS_YMS_T_DMS_WAFER_RAW_INFO_INCR.WAFER_DIAMETER
cp: ODS_YMS_T_DMS_WAFER_RAW_INFO_INCR.WAFER_DIAMETER</t>
  </si>
  <si>
    <t>Wafer Size</t>
  </si>
  <si>
    <t>晶圆尺寸</t>
  </si>
  <si>
    <t>wafer_size</t>
  </si>
  <si>
    <t>★wafer 级静态属性，与 lot_code/product_code/tech_code 同类，随每行携带。补入本层的原因：原先只在汇总②出现、明细无对应字段，导致汇总②有字段不是从上游来的；补齐后汇总②除 plan_step_qty 外全部可由上游推出</t>
  </si>
  <si>
    <t>DWD 层无此字段，暂指 ODS</t>
  </si>
  <si>
    <t>DWD_WIP_WAFER_HIST_SUMM_INCR.ROUTE_ID</t>
  </si>
  <si>
    <t>Route Version</t>
  </si>
  <si>
    <t>route版本</t>
  </si>
  <si>
    <t>route_ver</t>
  </si>
  <si>
    <t>基础信息，异常节点</t>
  </si>
  <si>
    <t>加工链路上下文；⚠源表只有 ROUTE_ID 无版本号</t>
  </si>
  <si>
    <t>缺版本字段</t>
  </si>
  <si>
    <t>2 业务域出口</t>
  </si>
  <si>
    <t>spc: DWD_METRO_ITEM_VALUE_INCR.LOT_METRO_END_TIME
defect: DWD_DEFECT_SCAN_DETAIL_INCR.INSP_END_TIME
ams: DWD_AMS_ACTION_HISTORY_INCR.ALARM_START_TIME
pm: DWD_EQP_PMS_PLAN_FULL.PM_END_TIME
rework: DWD_WIP_WAFER_HIST_SUMM_INCR.TRACK_OUT_TIME
qtime: DWS_QTIME_WAFER_HIST_SUMM_AGG_INCR.END_TRACK_IN_TIME
wat: DWD_WAT_ITEM_VALUE_INCR.LOT_METRO_END_TIME
cp: DWD_CP_BIN_DETAIL_INCR.LOT_METRO_END_TIME</t>
  </si>
  <si>
    <t>事件时间</t>
  </si>
  <si>
    <t>事件发生时间</t>
  </si>
  <si>
    <t>event_time</t>
  </si>
  <si>
    <t>异常节点，异常履历，异常详情</t>
  </si>
  <si>
    <t>★排序键；各过程取自身"异常成立时刻"。★Post PM 观察窗口起点取 DWD_EQP_PMS_PLAN_FULL.PM_END_TIME【保养结束时间】。该表相比 ads_ffs_feature_fact_eqp_rti 的优势：后者 last_pm_* 组只有 4 个字段且无起止、完整字段全在 next_plan_pm_*（下次计划，未来时间，判已加工的片会全错）；本表则起止俱全。⚠取数须按 STATUS 过滤出【已完成】的保养——本表名为计划表，含未执行计划，用未执行的计划判命中会凭空造出异常。defect 改用 DWD_DEFECT_SCAN_DETAIL_INCR.INSP_END_TIME（klarf 文件产生时间）；原 ADS 表的 INSP_TIME 为 varchar(100)，改走 DWD 后类型问题一并规避。★本列是【判定成立时点】只作排序与归属；事件自身的时间区间见 event_start_time / event_end_time</t>
  </si>
  <si>
    <t>INSP_END_TIME 类型待核</t>
  </si>
  <si>
    <t>spc: DWD_METRO_ITEM_VALUE_INCR.LOT_METRO_START_TIME
defect: DWD_DEFECT_SCAN_DETAIL_INCR.INSP_START_TIME
ams: DWD_AMS_ACTION_HISTORY_INCR.ALARM_START_TIME
pm: DWD_EQP_PMS_PLAN_FULL.PM_START_TIME
rework: DWD_WIP_WAFER_HIST_SUMM_INCR.TRACK_IN_TIME
qtime: DWS_QTIME_WAFER_HIST_SUMM_AGG_INCR.START_TRACK_OUT_TIME
wat: DWD_WAT_ITEM_VALUE_INCR.LOT_METRO_START_TIME
cp: DWD_CP_BIN_DETAIL_INCR.WAFER_METRO_START_TIME</t>
  </si>
  <si>
    <t>开始时间</t>
  </si>
  <si>
    <t>事件开始时间</t>
  </si>
  <si>
    <t>event_start_time</t>
  </si>
  <si>
    <t>★8 类全覆盖，已逐个查证源字段真实存在。多数事件本身带时长而非瞬时：ams 报警有起止、pm 保养有起止、qtime 本身就是一段区间、量测与检测也有起止。给全区间后下游要哪个取哪个，不必迁就单一 event_time 的口径</t>
  </si>
  <si>
    <t>spc: DWD_METRO_ITEM_VALUE_INCR.LOT_METRO_END_TIME
defect: DWD_DEFECT_SCAN_DETAIL_INCR.INSP_END_TIME
ams: DWD_AMS_ACTION_HISTORY_INCR.ALARM_END_TIME
pm: DWD_EQP_PMS_PLAN_FULL.PM_END_TIME
rework: DWD_WIP_WAFER_HIST_SUMM_INCR.TRACK_OUT_TIME
qtime: DWS_QTIME_WAFER_HIST_SUMM_AGG_INCR.END_TRACK_IN_TIME
wat: DWD_WAT_ITEM_VALUE_INCR.LOT_METRO_END_TIME
cp: DWD_CP_BIN_DETAIL_INCR.WAFER_METRO_END_TIME</t>
  </si>
  <si>
    <t>结束时间</t>
  </si>
  <si>
    <t>事件结束时间</t>
  </si>
  <si>
    <t>event_end_time</t>
  </si>
  <si>
    <t>★8 类全覆盖，已逐个查证。改用 DWD_EQP_PMS_PLAN_FULL 后 pm 的结束时间由 PM_END_TIME 直出，不再需要 last_pm_time + last_pm_dur_h 推算，「保养时点语义待确认」的缺口一并消除</t>
  </si>
  <si>
    <t>spc: DWD_METRO_ITEM_VALUE_INCR.ITEM_NAME
defect: DWD_DEFECT_SCAN_DETAIL_INCR.BIN_NAME
ams: DWD_AMS_ACTION_HISTORY_INCR.ALARM_ID
pm: DWD_EQP_PMS_PLAN_FULL.PM_TYPE
rework: —
qtime: DWS_QTIME_WAFER_HIST_SUMM_AGG_INCR.QTIME_KEY
wat: DWD_WAT_ITEM_VALUE_INCR.ITEM_NAME
cp: DWD_CP_BIN_DETAIL_INCR.SOFTBIN_NAME</t>
  </si>
  <si>
    <t>监控对象</t>
  </si>
  <si>
    <t>被监控对象</t>
  </si>
  <si>
    <t>metric_name</t>
  </si>
  <si>
    <t>异常详情，跳转</t>
  </si>
  <si>
    <t>★定义：这条异常【盯的是什么指标/项目】，人可读，页面卡片直接展示。
NORMAL = 无　　REWORK = 无(返工是路径行为，没有被监控的指标)
QTIME  = QTIME_KEY(哪条 Q-Time 规则)　SPC = ITEM_NAME(哪个量测项)
DEFECT = BIN_NAME(哪类缺陷分类)　　AMS = ALARM_ID(哪类报警，源表语义为报警代码)
PM     = PM_TYPE(哪类保养)　　　　 WAT = ITEM_NAME　　CP = SOFTBIN_NAME
★本列【不放记录主键】——「哪一条记录」由 src_record_id 承载，两者语义不同不可混用。
原先 DEFECT 填 unique_wafer_code 是错的：那是晶圆自身 ID，晶圆是被监控的主体不是监控对象</t>
  </si>
  <si>
    <t>spc: DWD_METRO_ITEM_VALUE_INCR.ID
defect: DWD_DEFECT_SCAN_DETAIL_INCR.ID
ams: DWD_AMS_ACTION_HISTORY_INCR.ALARM_HISTORY_ID
pm: DWD_EQP_PMS_PLAN_FULL.PM_ID
rework: DWD_WIP_WAFER_HIST_SUMM_INCR.RRC_NO
qtime: DWS_QTIME_WAFER_HIST_SUMM_AGG_INCR.ID
wat: DWD_WAT_ITEM_VALUE_INCR.ID
cp: DWD_CP_BIN_DETAIL_INCR.ID</t>
  </si>
  <si>
    <t>源记录ID</t>
  </si>
  <si>
    <t>源记录唯一ID</t>
  </si>
  <si>
    <t>src_record_id</t>
  </si>
  <si>
    <t>★定义：该事件在源业务系统里【哪一条记录】的主键，用于回源核对与跳转定位。
NORMAL = DWD_WIP_WAFER_HIST_SUMM_INCR.ID(履历行)
REWORK = RRC_NO(返工单号，仅作内部关联，D-021 规定不对外展示)
QTIME/SPC/WAT/CP/DEFECT = 各自源表主键 ID　　AMS = ALARM_HISTORY_ID　　PM = PM_ID
★与 metric_name 的分工：本列答「哪一条」，metric_name 答「盯什么」；与 jump_params 的分工：本列是单值主键，jump_params 是拼跳转 URL 的完整参数集，本列是其主参数</t>
  </si>
  <si>
    <t>3 配置快照</t>
  </si>
  <si>
    <t>计算版本</t>
  </si>
  <si>
    <t>calc_ver</t>
  </si>
  <si>
    <t>★判定与扣分的计算逻辑版本号，随事件快照落库。与 model_ver(评分模型版本) 分工：model_ver 管配置取值那一版，calc_ver 管算法实现那一版。判定既然在写入侧完成，就必须记下当时用的是哪版判定逻辑，否则逻辑升级后历史结论无法解释。对齐 AI Fab chart limit 维表中的 calc_ver 惯例</t>
  </si>
  <si>
    <t>单次扣分</t>
  </si>
  <si>
    <t>unit_deduct</t>
  </si>
  <si>
    <t>扣分详情，配置中心</t>
  </si>
  <si>
    <t>★扣分因子配置的【快照值】，写入事件时一并落库，不建独立配置维表。PRD 7.3.5 默认值：SPC_OOC=6、SPC_OOS=10、YE_HOLD=10、AMS_ALARM=4、POST_PM=5、REWORK=6、QTIME=5、WAT_OOS=3、CP_BIN_PF=5。★必须快照而非引用当前配置：PRD 14.x 配置中心可编辑可发布且带 revision，只存当前值会导致历史分数复核时看到改后的配置，与当初扣分对不上</t>
  </si>
  <si>
    <t>权重</t>
  </si>
  <si>
    <t>权重系数</t>
  </si>
  <si>
    <t>weight</t>
  </si>
  <si>
    <t>配置快照。PRD 默认值：SPC_OOC=1.0、SPC_OOS=1.2、YE_HOLD=1.0、AMS_ALARM=0.9、POST_PM=1.0、REWORK=1.0、QTIME=1.0、WAT_OOS=1.1、CP_BIN_PF=1.2。⚠不参与计算——PRD 7.3.5 扣分公式中无权重项，仅供展示</t>
  </si>
  <si>
    <t>权重配了不进公式</t>
  </si>
  <si>
    <t>等级倍率</t>
  </si>
  <si>
    <t>严重等级倍率</t>
  </si>
  <si>
    <t>severity_rate</t>
  </si>
  <si>
    <t>配置快照，按 severity 映射：Critical=1.5 / High=1.2 / Medium=1.0 / Low=0.6。★进算式</t>
  </si>
  <si>
    <t>单因子上限</t>
  </si>
  <si>
    <t>factor_cap</t>
  </si>
  <si>
    <t>配置快照。PRD 默认值：SPC_OOC=12、SPC_OOS=20、YE_HOLD=12、AMS_ALARM=8、POST_PM=6、REWORK=8、QTIME=8、WAT_OOS=15、CP_BIN_PF=20。校验：必须 ≥ 单次扣分。⚠截断本身不在本层做——min() 要按 wafer×因子 整片截一次，在汇总①执行</t>
  </si>
  <si>
    <t>多次聚合</t>
  </si>
  <si>
    <t>多次聚合方式</t>
  </si>
  <si>
    <t>aggr_method</t>
  </si>
  <si>
    <t>配置快照：命中多次时的累计规则（PRD 14.x 扣分细则）</t>
  </si>
  <si>
    <t>去重窗口</t>
  </si>
  <si>
    <t>dedup_window</t>
  </si>
  <si>
    <t>配置快照：PRD 14.x 扣分细则可编辑项之一，决定同因子多次命中在多长时间内算一次，直接影响 hit_count 计数</t>
  </si>
  <si>
    <t>单位与默认值未给出</t>
  </si>
  <si>
    <t>启用状态</t>
  </si>
  <si>
    <t>因子启用状态</t>
  </si>
  <si>
    <t>factor_enabled</t>
  </si>
  <si>
    <t>配置快照。PRD：未接入数据的因子不可启用、不参与评分（WR-105：数据未接入则对应因子不扣分并显示未接入）。★未启用时事件仍入表但 capped_deduct 记 0，保证「有异常但不扣分」可被如实展示</t>
  </si>
  <si>
    <t>触发条件</t>
  </si>
  <si>
    <t>trigger_cond</t>
  </si>
  <si>
    <t>配置快照：固化模板描述，扣分详情面板展示用</t>
  </si>
  <si>
    <t>异常统计，异常详情</t>
  </si>
  <si>
    <t>★细粒度，按业务过程一一对应，共 9 值：NORMAL / REWORK / QTIME / SPC / DEFECT / AMS / PM / WAT / CP。★为什么不直接用 D-012 的 6 类：AMS 与 PM 的扣分配置各不相同(单次扣分 4 vs 5、上限 8 vs 6、等级 High vs Medium、且各自有独立的前后时间窗口)，压成 TOOL 一类后配置无处挂载；WAT 与 CP 同理(3/15/High vs 5/20/High)。故本列细拆，6 类归并放 event_category。NORMAL 行来自 WIP 加工链路的正常经过节点：factor_code 为空、不扣分，但保证每个 step 都有 event_id，后续要追加规则或明细计数时有挂载点。★另按【事件归属】分三族(决定各 event_type 怎么落到 wafer 粒度)：①晶圆结果事件 SPC/DEFECT/WAT/CP——事件直接发生在晶圆上，本就是 wafer 粒度；②晶圆时间事件 QTIME/REWORK/NORMAL——由晶圆自身 WIP 履历推导，无外部实体、不扇出，qtime 派生链路数仓已有(DWD_WIP_WAFER_HIST_SUMM_INCR→DWD_QTIME_*→DWS_QTIME_*_AGG)；③机台事件 AMS/PM——事件属于机台，须按同 EQP+时间窗关联到晶圆且**一条报警会扇出到多片**，故须先与 DWD_WIP_WAFER_HIST_SUMM_INCR 做时间窗关联再落到片（该关联为新增加工逻辑，来源表非新建）</t>
  </si>
  <si>
    <t>异常大类</t>
  </si>
  <si>
    <t>异常类别</t>
  </si>
  <si>
    <t>event_category</t>
  </si>
  <si>
    <t>枚举封闭(D-012) 6 类：SPC / DEFECT / TOOL / REWORK / QTIME / WATCP。由 event_type 归并而来：AMS+PM→TOOL(PM 不独立成类，D-013)、WAT+CP→WATCP，其余一一对应；NORMAL 行本列为空。★用途：异常统计卡的类型分项、以及类别封顶 (类别扣分 = min(该类别各因子实际扣分之和, 类别封顶))</t>
  </si>
  <si>
    <t>健康评分，异常统计，异常节点，异常详情</t>
  </si>
  <si>
    <t>★判定结论。PRD 7.3.5 共 9 个因子：SPC_OOC / SPC_OOS / YE_HOLD_RESULT / AMS_ALARM / POST_PM_WINDOW / REWORK_GT0 / QTIME_OVERDUE / WAT_OOS / CP_BIN_PF。写入侧比完阈值直接落值，筛选靠它不靠现场比阈值</t>
  </si>
  <si>
    <t>异常统计，异常节点，异常详情</t>
  </si>
  <si>
    <t>Critical/High/Medium/Low。PRD 默认值：SPC_OOC=High、SPC_OOS=Critical、YE_HOLD=Critical、AMS_ALARM=High、POST_PM=Medium、REWORK=Medium、QTIME=Medium、WAT_OOS=High、CP_BIN_PF=High</t>
  </si>
  <si>
    <t>spc: —写入侧算—ITEM_VALUE vs DWD_METRO_LIMIT_INCR.UCL/LCL/SPEC_HI/SPEC_LO
defect: ads_ffs_feature_fact_wafer_rti.result
ams: —写入侧算—ALARM 落入 track 前后窗口且同 EQP 即成立
pm: —写入侧算—track_in 落入 PM_END_TIME 后观察窗口即成立
rework: —写入侧算—履历出现路径回退或 Rework Route 即成立
qtime: DWS_QTIME_WAFER_HIST_SUMM_AGG_INCR.OVERTIME_TRACK_IN_TRACK_OUT_FLAG
wat: DWD_WAT_ITEM_VALUE_INCR.PASS_FAIL
cp: DWD_CP_BIN_DETAIL_INCR.PF</t>
  </si>
  <si>
    <t>判定结论</t>
  </si>
  <si>
    <t>判定结论编码</t>
  </si>
  <si>
    <t>result_code</t>
  </si>
  <si>
    <t>异常分类展示：OOC/OOS/Warning/Bad/Overdue/Rework。★★本列绝大多数【不是源字段直取，而是写入侧算出来的】——这正是设计原则②「判定在写入侧完成，查询侧只消费结论」。源表里没有 OOC/OOS 这种字段：spc 的 PASS_FAIL 是通过/失败、ams 的 RESULT 是动作执行成功(1)/失败(2)、pm 的 STATUS 是保养状态，都不是异常判定。真正带判定语义的只有 3 个：defect 的 result(good/warning/bad)、qtime 的 OVERTIME_*_FLAG、cp 的 PF。★Defect 判定结果已定位到 AI Fab 已建实体 ads_ffs_feature_fact_wafer_rti.result，其计算规则与 PRD 的 YE on Duty Hold Result 完全对应：任一 normalized_dc 超 spec → bad；任一超 warning → warning；全部不超 → good(normalized_dc = dc × DC / Class.DC)。PRD 7.3.5 原写的数据源 S_YE_HOLD_LOT_WAFER 在 ddl.sql 与 OneStep 中均零命中、数仓侧并未建表，改走本实体后该缺口消除。证据字段 defect_bin_info / result_summary 一并进 ext</t>
  </si>
  <si>
    <t>result 枚举为 good/warning/bad，与 PRD 的 OOC 口径需对齐</t>
  </si>
  <si>
    <t>明细表中只有0和1</t>
  </si>
  <si>
    <t>★★进算式字段。PRD 7.3.6 定义为「当前 Wafer 当前因子命中次数」——即 wafer×因子 粒度，不按节点拆。各过程口径：spc=OOC/OOS点数、defect=Hold次数(D-015 一次Hold一条)、ams=报警条数、pm=命中窗口数、rework=返工次数、qtime=超期窗口数(双模式只算1次,D-019)、wat=超规格项数、cp=失败Bin数</t>
  </si>
  <si>
    <t>5 扩展</t>
  </si>
  <si>
    <t>兜底</t>
  </si>
  <si>
    <t>扩展信息</t>
  </si>
  <si>
    <t>ext</t>
  </si>
  <si>
    <t>json</t>
  </si>
  <si>
    <t>只展示不计算(提列三问均为否)。按 event_type 分类装载：
NORMAL = 无
REWORK = SRC_NO / RRC_NO / 回退step / 追加step数
QTIME  = MAX_QTIME / MIN_QTIME 双模式两组阈值 + 4 种时间组合实际值 (D-019/D-020)
SPC    = ITEM_VALUE / UCL / LCL / SPEC_HI / SPEC_LO / TARGET / unit
DEFECT = defect_bin_info(bin code/name/dc/normalized_dc/dcspec/images) / result_summary /
         total_defect_qty / class_defect_qty / die_defect_qty / die_recipe_qty /
         image_defect_qty / scan_recipe_code / wafer_map / slot / priority / hold_time
AMS    = ALARM_DESC / ALARM_LEVEL_ID / ALARM_CATEGORY + window_before_hr / window_after_hr
PM     = PM_ID / PM_TYPE / PM_RANGE / PM_START_TIME / PM_END_TIME / PM_DURING /
         PRE_RECOVER_TIME / EQP_GROUP + window_before_hr / window_after_hr
WAT    = SPEC_HI / SPEC_LO / ITEM_UNIT
CP     = HARDBIN_NUM / SOFTBIN_NUM / SITE_ID / PF
【原始证据 evidence —— 对应 PRD 7.3.6「原始证据：卡控值、实际值、来源字段」】
统一用三元组数组承载，各类型只是数组长度不同，页面渲染逻辑只写一遍：
  "evidence":[{"field":"ITEM_VALUE","actual":42.1,"limit_name":"UCL","limit":40.0,"unit":"nm"}]
field=来源字段名(可溯源到源表列)、actual=实际值、limit_name+limit=卡控值。
各类型条数：SPC 4 条(UCL/LCL/SPEC_HI/SPEC_LO 各配同一实际值)、QTIME 2 组阈值×4 种时间组合、DEFECT 每个 bin 一条(dcspec vs normalized_dc)、WAT 2 条(SPEC_HI/SPEC_LO)、CP 1 条(PF)、AMS/PM 为时间窗口命中(limit=窗口边界,actual=track 时点)、REWORK 无阈值。
★为何不提列：卡控值结构因类型而异(SPC 四阈值、QTIME 双模式、DEFECT 逐 bin)，固定列承载必然列爆炸；且不进 WHERE 不进算式，符合提列三问的 ext 判据。
★「哪一条记录」由 src_record_id 承载，「哪个字段」由本结构的 field 承载，二者互补
【三条规则】
① 各业务过程独有的配置项一律进本 JSON 不提列；公共配置 8 项(启用状态/单次扣分/单因子上限/权重/等级倍率/触发条件/聚合方式/去重窗口)已提列。后续新增独有配置照此办理，零改 DDL
② 判定依据必须写入时快照，不可改成点击时回源——配置与保养计划都会改版/改期，回源会导致复核时证据与当初扣分对不上(穿越)，与 snapshot_time 同理
③ 重资产(完整保养工单/历史/图片/Wafer Map 大图)不进本 JSON，走 jump_params 跳转</t>
  </si>
  <si>
    <t>跳转参数</t>
  </si>
  <si>
    <t>跳转参数集</t>
  </si>
  <si>
    <t>jump_params</t>
  </si>
  <si>
    <t>★PRD 10.x 跳转表中每类要带的参数不止一个，metric_name 单列装不下，故以 JSON 承载全集：SPC OOC/OOS → Chart ID + Item Name；YE on Duty → YE on Duty Summary + HOLD_BIZ_ID，另有 Wafer Map + Stacked Die Image 两个图形入口；AMS Alarm → EQP_ID + ALARM_ID；Post PM Window → PM_ID + Post PM Window；Q-Time → QTIME_ID + 异常模式(Max/Min)；WAT → ITEM_NAME；CP → PF + Bin。⚠HOLD_BIZ_ID 三个文档均零命中(PRD 原注 onestep_user_config.S_YE_HOLD_LOT_WAFER 需新增)，该 key 暂缺；Chart ID 亦未在数仓中找到对应字段。D-026 只定目标系统不定参数，故本列结构随外部系统确认后再固化</t>
  </si>
  <si>
    <t>HOLD_BIZ_ID / Chart ID 两个 key 无数据出口</t>
  </si>
  <si>
    <t>跳转目标</t>
  </si>
  <si>
    <t>跳转目标系统</t>
  </si>
  <si>
    <t>jump_sys_code</t>
  </si>
  <si>
    <t>跳转</t>
  </si>
  <si>
    <t>只定目标系统不定参数(D-026)；具体参数待外部系统确认</t>
  </si>
  <si>
    <t>跳转参数未定</t>
  </si>
  <si>
    <t>source</t>
  </si>
  <si>
    <t>来源系统</t>
  </si>
  <si>
    <t>source_system</t>
  </si>
  <si>
    <t>写死：SPC / DEFECT(YE) / AMS / PMS / MES / QTIME / WAT / CP</t>
  </si>
  <si>
    <t>版本管理</t>
  </si>
  <si>
    <t>DIM_WAT_ITEM_INFO_FULL</t>
  </si>
  <si>
    <t>PRODUCT ID</t>
  </si>
  <si>
    <t>LOT_ID AS lot_code,</t>
  </si>
  <si>
    <t>SRC_LOT_ID AS src_lot_code,</t>
  </si>
  <si>
    <t>TEST_PROG_NAME AS test_prog_name,</t>
  </si>
  <si>
    <t>ITEM_NUM</t>
  </si>
  <si>
    <t>ITEM_NUM AS item_num,</t>
  </si>
  <si>
    <t>LIMIT_FILE_NAME</t>
  </si>
  <si>
    <t>limit文件名</t>
  </si>
  <si>
    <t>limit名称</t>
  </si>
  <si>
    <t>limit_name</t>
  </si>
  <si>
    <t>LIMIT_FILE_NAME AS limit_name,</t>
  </si>
  <si>
    <t>limit文件版本</t>
  </si>
  <si>
    <t>LIMIT_VER AS limit_ver,</t>
  </si>
  <si>
    <t>ITEM_UNIT</t>
  </si>
  <si>
    <t>测试项单位</t>
  </si>
  <si>
    <t>item_unit</t>
  </si>
  <si>
    <t>ITEM_UNIT AS item_unit,</t>
  </si>
  <si>
    <t>RECIPE_ID AS recipe_code,</t>
  </si>
  <si>
    <t>EQP_ID AS eqp_code,</t>
  </si>
  <si>
    <t>PROBE_CARD_ID AS probe_code,</t>
  </si>
  <si>
    <t>STATUS AS status,</t>
  </si>
  <si>
    <t>LOT_METRO_START_TIME AS lot_metro_start_time,</t>
  </si>
  <si>
    <t>LOT_METRO_END_TIME AS lot_metro_end_time,</t>
  </si>
  <si>
    <t>chamberid拼接stepid</t>
  </si>
  <si>
    <t>ADS_GOLDEN_RUN_PATH_STEP_AGG_INCR</t>
  </si>
  <si>
    <t>产品id</t>
  </si>
  <si>
    <t>加工CHAMBERID</t>
  </si>
  <si>
    <t>所属step描述</t>
  </si>
  <si>
    <t>MODULE</t>
  </si>
  <si>
    <t>module</t>
  </si>
  <si>
    <t>NC_NAME</t>
  </si>
  <si>
    <t>CHAMBER_ID/EQUIPMENT_ID</t>
  </si>
  <si>
    <t>varchar(1000)</t>
  </si>
  <si>
    <t>NC_TYPE</t>
  </si>
  <si>
    <t>CHAMBER/EQUIPMENT</t>
  </si>
  <si>
    <t>CHA_SCORE</t>
  </si>
  <si>
    <t>综合得分</t>
  </si>
  <si>
    <t>得分</t>
  </si>
  <si>
    <t>score</t>
  </si>
  <si>
    <t>decimal(20,6)</t>
  </si>
  <si>
    <t>CHA_INLINE_SCORE</t>
  </si>
  <si>
    <t>INLINE得分</t>
  </si>
  <si>
    <t>inline得分</t>
  </si>
  <si>
    <t>inline_score</t>
  </si>
  <si>
    <t>CHA_INLINE_WEIGHT</t>
  </si>
  <si>
    <t>INLINE权重分</t>
  </si>
  <si>
    <t>inline权重分</t>
  </si>
  <si>
    <t>inline_weight</t>
  </si>
  <si>
    <t>CHA_OFFLINE_SCORE</t>
  </si>
  <si>
    <t>OFFLINE得分</t>
  </si>
  <si>
    <t>offline得分</t>
  </si>
  <si>
    <t>offline_score</t>
  </si>
  <si>
    <t>CHA_OFFLINE_WEIGHT</t>
  </si>
  <si>
    <t>OFFLINE权重分</t>
  </si>
  <si>
    <t>offline权重分</t>
  </si>
  <si>
    <t>offline_weight</t>
  </si>
  <si>
    <t>CHA_PARTICLE_SCORE</t>
  </si>
  <si>
    <t>PARTICLE得分</t>
  </si>
  <si>
    <t>particle得分</t>
  </si>
  <si>
    <t>particle_score</t>
  </si>
  <si>
    <t>CHA_PARTICLE_WEIGHT</t>
  </si>
  <si>
    <t>PARTICLE权重分</t>
  </si>
  <si>
    <t>particle权重分</t>
  </si>
  <si>
    <t>particle_weight</t>
  </si>
  <si>
    <t>CHA_DEFECT_SCORE</t>
  </si>
  <si>
    <t>DEFECT得分</t>
  </si>
  <si>
    <t>defect得分</t>
  </si>
  <si>
    <t>defect_score</t>
  </si>
  <si>
    <t>CHA_DEFECT_WEIGHT</t>
  </si>
  <si>
    <t>DEFECT权重分</t>
  </si>
  <si>
    <t>defect权重分</t>
  </si>
  <si>
    <t>defect_weight</t>
  </si>
  <si>
    <t>CHA_PK</t>
  </si>
  <si>
    <t>综合排序</t>
  </si>
  <si>
    <t>comprehensive_rank</t>
  </si>
  <si>
    <t>唯一flow编码</t>
  </si>
  <si>
    <t>unique_flow_code</t>
  </si>
  <si>
    <t>product_code拼接flow_id</t>
  </si>
  <si>
    <t>flow编码</t>
  </si>
  <si>
    <t>PRODUCT_DESC</t>
  </si>
  <si>
    <t>产品描述</t>
  </si>
  <si>
    <t>所属产品描述</t>
  </si>
  <si>
    <t>product_desc</t>
  </si>
  <si>
    <t>PRODUCT_DESC AS product_desc,</t>
  </si>
  <si>
    <t>PRODUCT_GRP</t>
  </si>
  <si>
    <t>产品分组</t>
  </si>
  <si>
    <t>product_group</t>
  </si>
  <si>
    <t>PRODUCT_GRP AS product_group,</t>
  </si>
  <si>
    <t>OWNER_CODE</t>
  </si>
  <si>
    <t>所有者编码</t>
  </si>
  <si>
    <t>owner_code</t>
  </si>
  <si>
    <t>OWNER_CODE AS owner_code,</t>
  </si>
  <si>
    <t>PRODUCT_OWNER</t>
  </si>
  <si>
    <t>所有者名称</t>
  </si>
  <si>
    <t>owner_name</t>
  </si>
  <si>
    <t>PRODUCT_OWNER AS owner_name,</t>
  </si>
  <si>
    <t>COST_TYPE</t>
  </si>
  <si>
    <t>cost类型</t>
  </si>
  <si>
    <t>cost_type</t>
  </si>
  <si>
    <t>COST_TYPE AS cost_type,</t>
  </si>
  <si>
    <t>CREATE_TIME AS created_time,</t>
  </si>
  <si>
    <t>产品版本</t>
  </si>
  <si>
    <t>PRODUCT_VER AS product_ver,</t>
  </si>
  <si>
    <t>FLOW_VER</t>
  </si>
  <si>
    <t>FLOW版本</t>
  </si>
  <si>
    <t>flow版本</t>
  </si>
  <si>
    <t>flow_ver</t>
  </si>
  <si>
    <t>FLOW_VER AS flow_ver,</t>
  </si>
  <si>
    <t>IS_NEWEST_PRODUCT</t>
  </si>
  <si>
    <t>是否是最新的product</t>
  </si>
  <si>
    <t>是否最新产品</t>
  </si>
  <si>
    <t>is_new_product</t>
  </si>
  <si>
    <t>IS_NEWEST_PRODUCT AS is_new_product,</t>
  </si>
  <si>
    <t>ads_ffs_cpd_dim_rt</t>
  </si>
  <si>
    <t>DWD_CP_BIN_DETAIL_INCR</t>
  </si>
  <si>
    <t>row_key</t>
  </si>
  <si>
    <t>ROW_KEY AS `row_key#v1`,</t>
  </si>
  <si>
    <t>primary key of basic_info</t>
  </si>
  <si>
    <t>产品编号</t>
  </si>
  <si>
    <t>lot信息</t>
  </si>
  <si>
    <t>STATION</t>
  </si>
  <si>
    <t>数据站点信息，如CP/FT</t>
  </si>
  <si>
    <t>站点信息</t>
  </si>
  <si>
    <t>station</t>
  </si>
  <si>
    <t>STATION AS `station#v1`,</t>
  </si>
  <si>
    <t>CUSTOMER_PRODUCT_ID</t>
  </si>
  <si>
    <t>CP:Part Type(or product ID)
FT:Package type</t>
  </si>
  <si>
    <t>cus_pro编号</t>
  </si>
  <si>
    <t>cus_pro_num</t>
  </si>
  <si>
    <t>CUSTOMER_PRODUCT_ID AS `cus_pro_num#v1`,</t>
  </si>
  <si>
    <t>FACILITY</t>
  </si>
  <si>
    <t>Test facility ID</t>
  </si>
  <si>
    <t>facility编码</t>
  </si>
  <si>
    <t>facility_code</t>
  </si>
  <si>
    <t>FACILITY AS `facility_code#v1`,</t>
  </si>
  <si>
    <t>Job name (test program name)</t>
  </si>
  <si>
    <t>测试任务名称</t>
  </si>
  <si>
    <t>test_job_name</t>
  </si>
  <si>
    <t>TEST_PROG_NAME AS `test_job_name#v1`,</t>
  </si>
  <si>
    <t>PROGRAM_VER</t>
  </si>
  <si>
    <t>程序版本，如：B10/B20</t>
  </si>
  <si>
    <t>程序版本</t>
  </si>
  <si>
    <t>program_ver</t>
  </si>
  <si>
    <t>PROGRAM_VER AS `program_ver#v1`,</t>
  </si>
  <si>
    <t>TEST_FLOW</t>
  </si>
  <si>
    <t>Test flow ID</t>
  </si>
  <si>
    <t>所属测试flow</t>
  </si>
  <si>
    <t>test_flow_code</t>
  </si>
  <si>
    <t>TEST_FLOW AS `test_flow_code#v1`,</t>
  </si>
  <si>
    <t>STAGE</t>
  </si>
  <si>
    <t>Test setup ID（如FT2、FT1等）</t>
  </si>
  <si>
    <t>STAGE AS `stage_code#v1`,</t>
  </si>
  <si>
    <t>SETUP_TIME</t>
  </si>
  <si>
    <t>date and time of job setup</t>
  </si>
  <si>
    <t>setup时间</t>
  </si>
  <si>
    <t>setup_time</t>
  </si>
  <si>
    <t>SETUP_TIME AS `setup_time#v1`,</t>
  </si>
  <si>
    <t>VENDOR</t>
  </si>
  <si>
    <t>厂家信息</t>
  </si>
  <si>
    <t>VENDOR AS `vendor#v1`,</t>
  </si>
  <si>
    <t>TESTER</t>
  </si>
  <si>
    <t>Name of note that generated date</t>
  </si>
  <si>
    <t>tester</t>
  </si>
  <si>
    <t>TESTER AS `tester#v1`,</t>
  </si>
  <si>
    <t>TESTER_TYPE</t>
  </si>
  <si>
    <t>Tester type</t>
  </si>
  <si>
    <t>tester类型</t>
  </si>
  <si>
    <t>tester_type</t>
  </si>
  <si>
    <t>TESTER_TYPE AS `tester_type#v1`,</t>
  </si>
  <si>
    <t>TEST_TEMPERATURE</t>
  </si>
  <si>
    <t>Test temperature</t>
  </si>
  <si>
    <t>test_temperature</t>
  </si>
  <si>
    <t>TEST_TEMPERATURE AS `test_temperature#v1`,</t>
  </si>
  <si>
    <t>LOAD_BOARD_ID</t>
  </si>
  <si>
    <t>Load boardId</t>
  </si>
  <si>
    <t>load_boardId</t>
  </si>
  <si>
    <t>LOAD_BOARD_ID AS `load_boardId#v1`,</t>
  </si>
  <si>
    <t>Probecard ID</t>
  </si>
  <si>
    <t>probecard</t>
  </si>
  <si>
    <t>probecard_code</t>
  </si>
  <si>
    <t>PROBE_CARD_ID AS `probecard_code#v1`,</t>
  </si>
  <si>
    <t>HANDLE_ID</t>
  </si>
  <si>
    <t>Handler</t>
  </si>
  <si>
    <t>handler</t>
  </si>
  <si>
    <t>handler_code</t>
  </si>
  <si>
    <t>HANDLE_ID AS `handler_code#v1`,</t>
  </si>
  <si>
    <t>WAFER_METRO_START_TIME</t>
  </si>
  <si>
    <t>wafer量测开始时间</t>
  </si>
  <si>
    <t>晶圆量测开始时间</t>
  </si>
  <si>
    <t>wafer_metro_start_time</t>
  </si>
  <si>
    <t>WAFER_METRO_START_TIME AS `wafer_metro_start_time#v1`,</t>
  </si>
  <si>
    <t>WAFER_METRO_END_TIME</t>
  </si>
  <si>
    <t>wafer量测结束时间</t>
  </si>
  <si>
    <t>晶圆量测结束时间</t>
  </si>
  <si>
    <t>wafer_metro_end_time</t>
  </si>
  <si>
    <t>WAFER_METRO_END_TIME AS `wafer_metro_end_time#v1`,</t>
  </si>
  <si>
    <t>晶圆唯一编号source-lot+wafer-number</t>
  </si>
  <si>
    <t>OCR</t>
  </si>
  <si>
    <t>测试机在测试前识别的wafer laser mark</t>
  </si>
  <si>
    <t>ocr</t>
  </si>
  <si>
    <t>OCR AS `ocr#v1`,</t>
  </si>
  <si>
    <t>芯片的原始x坐标</t>
  </si>
  <si>
    <t>芯片的原始y坐标</t>
  </si>
  <si>
    <t>ORIG_XY</t>
  </si>
  <si>
    <t>芯片的原始坐标</t>
  </si>
  <si>
    <t>orig_xy</t>
  </si>
  <si>
    <t>ORIG_XY AS `orig_xy#v1`,</t>
  </si>
  <si>
    <t>ECID</t>
  </si>
  <si>
    <t>Die的标识符</t>
  </si>
  <si>
    <t>ecid</t>
  </si>
  <si>
    <t>ECID AS `ecid#v1`,</t>
  </si>
  <si>
    <t>HEAD_NUM</t>
  </si>
  <si>
    <t>Head number associated with channel</t>
  </si>
  <si>
    <t>head编号</t>
  </si>
  <si>
    <t>head_num</t>
  </si>
  <si>
    <t>HEAD_NUM AS `head_num#v1`,</t>
  </si>
  <si>
    <t>SITE_NUM</t>
  </si>
  <si>
    <t>Site number associated with channel</t>
  </si>
  <si>
    <t>site编号</t>
  </si>
  <si>
    <t>site_num</t>
  </si>
  <si>
    <t>SITE_NUM AS `site_num#v1`,</t>
  </si>
  <si>
    <t>TOUCH_DOWN</t>
  </si>
  <si>
    <t>探针接触点</t>
  </si>
  <si>
    <t>touch_down</t>
  </si>
  <si>
    <t>TOUCH_DOWN AS `touch_down#v1`,</t>
  </si>
  <si>
    <t>PART_ID</t>
  </si>
  <si>
    <t>Part number associated with channel</t>
  </si>
  <si>
    <t>part编码</t>
  </si>
  <si>
    <t>part_code</t>
  </si>
  <si>
    <t>PART_ID AS `part_code#v1`,</t>
  </si>
  <si>
    <t>HARDBIN_NUM</t>
  </si>
  <si>
    <t>Hardware bin number</t>
  </si>
  <si>
    <t>hardbin编号</t>
  </si>
  <si>
    <t>hardbin_num</t>
  </si>
  <si>
    <t>HARDBIN_NUM AS `hardbin_num#v1`,</t>
  </si>
  <si>
    <t>HARDBIN_NAME</t>
  </si>
  <si>
    <t>hardbin的描述信息</t>
  </si>
  <si>
    <t>hardbin名称</t>
  </si>
  <si>
    <t>hardbin_name</t>
  </si>
  <si>
    <t>HARDBIN_NAME AS `hardbin_name#v1`,</t>
  </si>
  <si>
    <t>SOFTBIN_NUM</t>
  </si>
  <si>
    <t>Software bin number</t>
  </si>
  <si>
    <t>softbin编号</t>
  </si>
  <si>
    <t>softbin_num</t>
  </si>
  <si>
    <t>SOFTBIN_NUM AS `softbin_num#v1`,</t>
  </si>
  <si>
    <t>SOFTBIN_NAME</t>
  </si>
  <si>
    <t>Softwaer bin的描述信息</t>
  </si>
  <si>
    <t>softbin名称</t>
  </si>
  <si>
    <t>softbin_name</t>
  </si>
  <si>
    <t>SOFTBIN_NAME AS `softbin_name#v1`,</t>
  </si>
  <si>
    <t>PF</t>
  </si>
  <si>
    <t>PASS/FAIL标志</t>
  </si>
  <si>
    <t>pf标志</t>
  </si>
  <si>
    <t>pf_indicator</t>
  </si>
  <si>
    <t>varchar(1)</t>
  </si>
  <si>
    <t>PF AS `pf_indicator#v1`,</t>
  </si>
  <si>
    <t>QUEUE</t>
  </si>
  <si>
    <t>测试的顺序</t>
  </si>
  <si>
    <t>测试顺序</t>
  </si>
  <si>
    <t>queue</t>
  </si>
  <si>
    <t>QUEUE AS `queue#v1`,</t>
  </si>
  <si>
    <t>RETEST_NUM</t>
  </si>
  <si>
    <t>默认为0，存在复测</t>
  </si>
  <si>
    <t>复测编号</t>
  </si>
  <si>
    <t>retest_num</t>
  </si>
  <si>
    <t>RETEST_NUM AS `retest_num#v1`,</t>
  </si>
  <si>
    <t>TEST_TIME</t>
  </si>
  <si>
    <t>测试结束时间</t>
  </si>
  <si>
    <t>test_end_time</t>
  </si>
  <si>
    <t>TEST_TIME AS `test_end_time#v1`,</t>
  </si>
  <si>
    <t>PROBE_ID</t>
  </si>
  <si>
    <t>prober ID</t>
  </si>
  <si>
    <t>prober编码</t>
  </si>
  <si>
    <t>prober_code</t>
  </si>
  <si>
    <t>PROBE_ID AS `prober_code#v1`,</t>
  </si>
  <si>
    <t>PROBE_CARD_TYPE</t>
  </si>
  <si>
    <t>prober card type</t>
  </si>
  <si>
    <t>prober类型</t>
  </si>
  <si>
    <t>prober_type</t>
  </si>
  <si>
    <t>PROBE_CARD_TYPE AS `prober_type#v1`,</t>
  </si>
  <si>
    <t>唯一dl编码</t>
  </si>
  <si>
    <t>unique_dl_code</t>
  </si>
  <si>
    <t>Platform</t>
  </si>
  <si>
    <t>平台，手动填写，该条DL适用产品所属的平台，必填</t>
  </si>
  <si>
    <t>平台</t>
  </si>
  <si>
    <t>platform</t>
  </si>
  <si>
    <t>Loop</t>
  </si>
  <si>
    <t>该条DL适用的Loop，根据贵司实际业务设置下拉选择，必填</t>
  </si>
  <si>
    <t>所属loop</t>
  </si>
  <si>
    <t>loop_code</t>
  </si>
  <si>
    <t>PROD</t>
  </si>
  <si>
    <t>产品ID，手动填写，该条DL适用的产品，若有多个产品可回车分隔，必填</t>
  </si>
  <si>
    <t>Scan step</t>
  </si>
  <si>
    <t>手动填写，该条DL适用的Scan step，若有多个站点可回车分隔，支持*匹配，必填</t>
  </si>
  <si>
    <t>所属scan step</t>
  </si>
  <si>
    <t>Defect Class</t>
  </si>
  <si>
    <t>该条DL适用的缺陷类型，与DMS中对缺陷进行分类的列表一致，根据贵司实际业务设置下拉选择，必填</t>
  </si>
  <si>
    <t>缺陷类型</t>
  </si>
  <si>
    <t>defect_class</t>
  </si>
  <si>
    <t>Defect Image</t>
  </si>
  <si>
    <t>该种缺陷类型典型的图片，必填</t>
  </si>
  <si>
    <t>缺陷图片</t>
  </si>
  <si>
    <t>defect_image</t>
  </si>
  <si>
    <t>Defect map</t>
  </si>
  <si>
    <t>该种缺陷形成的典型Map图片，必填</t>
  </si>
  <si>
    <t>缺陷map</t>
  </si>
  <si>
    <t>defect_map</t>
  </si>
  <si>
    <t>Map Type</t>
  </si>
  <si>
    <t>根据贵司实际情况设置下拉选择,如：如Random，Edge_Ring，Center，可多选，必填</t>
  </si>
  <si>
    <t>map类型</t>
  </si>
  <si>
    <t>map_type</t>
  </si>
  <si>
    <t>Die map</t>
  </si>
  <si>
    <t>该种缺陷形成的典型叠Die图片</t>
  </si>
  <si>
    <t>叠die map</t>
  </si>
  <si>
    <t>die_map</t>
  </si>
  <si>
    <t>EDX Image</t>
  </si>
  <si>
    <t>该种缺陷的典型EDX图片</t>
  </si>
  <si>
    <t>edx图片</t>
  </si>
  <si>
    <t>edx_image</t>
  </si>
  <si>
    <t>Address Image</t>
  </si>
  <si>
    <t>定点图片</t>
  </si>
  <si>
    <t>address_image</t>
  </si>
  <si>
    <t>Attachment</t>
  </si>
  <si>
    <t>附件</t>
  </si>
  <si>
    <t>attachment</t>
  </si>
  <si>
    <t>DN reference</t>
  </si>
  <si>
    <t>典型DN参考，可填入典型的DN ID</t>
  </si>
  <si>
    <t>典型dn参考</t>
  </si>
  <si>
    <t>dn_reference</t>
  </si>
  <si>
    <t>EDX</t>
  </si>
  <si>
    <t>该种缺陷的典型EDX元素，下拉选择，可多选</t>
  </si>
  <si>
    <t>edx元素</t>
  </si>
  <si>
    <t>edx_element</t>
  </si>
  <si>
    <t>Description</t>
  </si>
  <si>
    <t>对该缺陷的描述，如“掉落的paticle，表面较光滑”等</t>
  </si>
  <si>
    <t>缺陷描述</t>
  </si>
  <si>
    <t>defect_desc</t>
  </si>
  <si>
    <t>Root cause</t>
  </si>
  <si>
    <t>对可能产生该缺陷的根因进行描述，如“怀疑IMP掉落的particle，或WET掉落”，必填</t>
  </si>
  <si>
    <t>根因</t>
  </si>
  <si>
    <t>root_cause</t>
  </si>
  <si>
    <t>Killer Ratio</t>
  </si>
  <si>
    <t>预估的该种缺陷的killer ratio，百分比，必填</t>
  </si>
  <si>
    <t>killer比例</t>
  </si>
  <si>
    <t>killer_ratio</t>
  </si>
  <si>
    <t>decimal(5,2)</t>
  </si>
  <si>
    <t>Ink</t>
  </si>
  <si>
    <t>是否需要Ink，下拉选择，必填</t>
  </si>
  <si>
    <t>是否需要ink</t>
  </si>
  <si>
    <t>is_ink</t>
  </si>
  <si>
    <t>Killer Defect</t>
  </si>
  <si>
    <t>是否属于killer defect，必填</t>
  </si>
  <si>
    <t>是否killer缺陷</t>
  </si>
  <si>
    <t>is_killer_defect</t>
  </si>
  <si>
    <t>hl spec类型</t>
  </si>
  <si>
    <t>hl_spec_type</t>
  </si>
  <si>
    <t>H/L spec</t>
  </si>
  <si>
    <t>针对该缺陷，需要发DN进行HL时的Spec，若较简单仅为数值型的spec时，前一列可下拉选择数值类型，包括Nor. Die Count&gt;=、Nor. Defect Count&gt;=、Die Count&gt;=、Defect Count&gt;=、D.D%&gt;=，前一列根据需要选择，此列填入具体数值即可；若和前层spec一致，前一列选择参考前层，此列输入需要参考的DL ID；若Spec较复杂，则选择自定义，详细说明具体的Spec，必填</t>
  </si>
  <si>
    <t>hl spec值</t>
  </si>
  <si>
    <t>hl_spec_value</t>
  </si>
  <si>
    <t>pirun spec类型</t>
  </si>
  <si>
    <t>pirun_spec_type</t>
  </si>
  <si>
    <t>Pirun spec</t>
  </si>
  <si>
    <t>针对该缺陷，Pirun时的Spec，若较简单仅为数值型的spec时，前一列可下拉选择数值类型，包括Nor. Die Count&lt;=、Nor. Defect Count&lt;=、Die Count&lt;=、Defect Count&lt;=、D.D%&lt;=，前一列根据需要选择，此列填入具体数值即可；若和前层spec一致，前一列选择参考前层，此列输入需要参考的DL ID；若Spec较复杂，则选择自定义，详细说明具体的Spec，必填</t>
  </si>
  <si>
    <t>pirun spec值</t>
  </si>
  <si>
    <t>pirun_spec_value</t>
  </si>
  <si>
    <t>scrap spec类型</t>
  </si>
  <si>
    <t>scrap_spec_type</t>
  </si>
  <si>
    <t>Scrap spec</t>
  </si>
  <si>
    <t>针对该缺陷，Scrap时的Spec，若较简单仅为数值型的spec时，前一列可下拉选择数值类型，包括Nor. Die Count&gt;=、Nor. Defect Count&gt;=、Die Count&gt;=、Defect Count&gt;=、D.D%&gt;=，前一列根据需要选择，此列填入具体数值即可；若和前层spec一致，前一列选择参考前层，此列输入需要参考的DL ID；若Spec较复杂，则选择自定义，详细说明具体的Spec，必填</t>
  </si>
  <si>
    <t>scrap spec值</t>
  </si>
  <si>
    <t>scrap_spec_value</t>
  </si>
  <si>
    <t>H/L Module</t>
  </si>
  <si>
    <t>怀疑的Module，根据贵司的业务设置下拉选择，可多选，必填</t>
  </si>
  <si>
    <t>hl module</t>
  </si>
  <si>
    <t>hl_module</t>
  </si>
  <si>
    <t>H/L Step</t>
  </si>
  <si>
    <t>手动录入，怀疑的工艺步骤，多个可回车分隔，必填</t>
  </si>
  <si>
    <t>hl step</t>
  </si>
  <si>
    <t>hl_step_code</t>
  </si>
  <si>
    <t>Rework</t>
  </si>
  <si>
    <t>是否需要Rework，下拉选择，必填</t>
  </si>
  <si>
    <t>是否需要rework</t>
  </si>
  <si>
    <t>Rework Action</t>
  </si>
  <si>
    <t>Rework的操作说明，Rework为Y时，必填</t>
  </si>
  <si>
    <t>rework操作</t>
  </si>
  <si>
    <t>rework_action</t>
  </si>
  <si>
    <t>Fail Mode</t>
  </si>
  <si>
    <t>怀疑的失效机理，如：机台异常、工艺异常、工艺窗口异常等，根据贵司实际业务设置下拉选择，必填</t>
  </si>
  <si>
    <t>失效模式</t>
  </si>
  <si>
    <t>fail_mode</t>
  </si>
  <si>
    <t>Note</t>
  </si>
  <si>
    <t>note</t>
  </si>
  <si>
    <t>Owner</t>
  </si>
  <si>
    <t>此DL的Owner，录入系统登录名</t>
  </si>
  <si>
    <t>负责人</t>
  </si>
  <si>
    <t>owner</t>
  </si>
  <si>
    <t>chambersid拼接itemname</t>
  </si>
  <si>
    <t>ads_golden_run_path_detail_agg_incr</t>
  </si>
  <si>
    <t>产品id，非inlineDefect该字段留空</t>
  </si>
  <si>
    <t>加工STEP编号</t>
  </si>
  <si>
    <t>MAPPING_STEP_NUM</t>
  </si>
  <si>
    <t>关联STEP编号，inline:metro_step_num;defect;scan_step_num</t>
  </si>
  <si>
    <t>关联step</t>
  </si>
  <si>
    <t>mapping_step_code</t>
  </si>
  <si>
    <t>GRP_NAME</t>
  </si>
  <si>
    <t>测试项名称或者defect_BIN_NUMBER</t>
  </si>
  <si>
    <t>grp名称</t>
  </si>
  <si>
    <t>grp_name</t>
  </si>
  <si>
    <t>GRP_TYPE</t>
  </si>
  <si>
    <t>测试项类型或者defect</t>
  </si>
  <si>
    <t>grp类型</t>
  </si>
  <si>
    <t>grp_type</t>
  </si>
  <si>
    <t>ads_golden_run_path_step_detail_incr</t>
  </si>
  <si>
    <t>ads_tm_item_summ_analy_full</t>
  </si>
  <si>
    <t>测试项类型（DW DEFINE）</t>
  </si>
  <si>
    <t>测试项类型</t>
  </si>
  <si>
    <t>GRP_VALUE_TYPE</t>
  </si>
  <si>
    <t>VALUE取自什么指标</t>
  </si>
  <si>
    <t>指标类型</t>
  </si>
  <si>
    <t>metric_type</t>
  </si>
  <si>
    <t>GRP_NAME_WEIGHT</t>
  </si>
  <si>
    <t>GOLDEN_NAME权重</t>
  </si>
  <si>
    <t>golden权重</t>
  </si>
  <si>
    <t>golden_weight</t>
  </si>
  <si>
    <t>decimal(10,6)</t>
  </si>
  <si>
    <t>GRP_VALUE</t>
  </si>
  <si>
    <t>指标</t>
  </si>
  <si>
    <t>metric</t>
  </si>
  <si>
    <t>decimal(27,6)</t>
  </si>
  <si>
    <t>GRP_SCORE</t>
  </si>
  <si>
    <t>GRP_RK</t>
  </si>
  <si>
    <t>排序</t>
  </si>
  <si>
    <t>rank</t>
  </si>
  <si>
    <t>加工时间</t>
  </si>
  <si>
    <t>当前加工时间</t>
  </si>
  <si>
    <t>GOLDEN_MEAN</t>
  </si>
  <si>
    <t>黄金均值</t>
  </si>
  <si>
    <t>golden_mean</t>
  </si>
  <si>
    <t>GOLDEN_STDEV</t>
  </si>
  <si>
    <t>黄金标准差</t>
  </si>
  <si>
    <t>golden_stdev</t>
  </si>
  <si>
    <t>BSL_COUNT</t>
  </si>
  <si>
    <t>GOLDEN数量</t>
  </si>
  <si>
    <t>golden数量</t>
  </si>
  <si>
    <t>golden_count</t>
  </si>
  <si>
    <t>NC_MEAN</t>
  </si>
  <si>
    <t>CHAMBER/EQUIPMENT均值</t>
  </si>
  <si>
    <t>NC均值</t>
  </si>
  <si>
    <t>nc_mean</t>
  </si>
  <si>
    <t>NC_STDEV</t>
  </si>
  <si>
    <t>CHAMBER/EQUIPMENT标准差</t>
  </si>
  <si>
    <t>NC标准差</t>
  </si>
  <si>
    <t>nc_stdev</t>
  </si>
  <si>
    <t>NC_COUNT</t>
  </si>
  <si>
    <t>CHAMBER/EQUIPMENT WAFER数量</t>
  </si>
  <si>
    <t>NC晶圆数量</t>
  </si>
  <si>
    <t>nc_count</t>
  </si>
  <si>
    <t>MEAN_SHIFT</t>
  </si>
  <si>
    <t>MEAN SHIFT</t>
  </si>
  <si>
    <t>mean_shift</t>
  </si>
  <si>
    <t>STDEV_COMPARE</t>
  </si>
  <si>
    <t>STDEV COMPARE</t>
  </si>
  <si>
    <t>stdev_compare</t>
  </si>
  <si>
    <t>CPK</t>
  </si>
  <si>
    <t>cpk</t>
  </si>
  <si>
    <t>最新LIMIT上限松</t>
  </si>
  <si>
    <t>spec_hi</t>
  </si>
  <si>
    <t>最新LIMIT下限松</t>
  </si>
  <si>
    <t>spec_lo</t>
  </si>
  <si>
    <t>最新目标值</t>
  </si>
  <si>
    <t>target</t>
  </si>
  <si>
    <t>SETTING_TYPE_WEIGHT</t>
  </si>
  <si>
    <t>detail_setting_weight</t>
  </si>
  <si>
    <t>【汇总②】Wafer 粒度 · 页面直读层　主键：wafer_code　　双上游：扣分类(health_score/deduct_*)取自【汇总①】，统计类(cnt_*/anomaly_step_qty)直连【明细】，基础信息与生命周期取自 WIP/WAT/CP。对账：cnt_total 应恒等于 SUM(汇总①.event_qty)</t>
  </si>
  <si>
    <t>唯一评分编码</t>
  </si>
  <si>
    <t>ads_ffs_feature_agg_wfresume_score_rti</t>
  </si>
  <si>
    <t>MD5(wafer_code)</t>
  </si>
  <si>
    <t>★分区字段=重算批次日，按天覆盖写（同汇总①）</t>
  </si>
  <si>
    <t>ads_ffs_feature_agg_wfresume_factor_rti.model_ver</t>
  </si>
  <si>
    <t>报告 Trace ID + 配置版本溯源用</t>
  </si>
  <si>
    <t>ads_ffs_feature_agg_wfresume_factor_rti.wafer_code</t>
  </si>
  <si>
    <t>ads_ffs_feature_fact_wfresume_rti.lot_code</t>
  </si>
  <si>
    <t>页头展示；取自明细，不再回 DWD 原始表</t>
  </si>
  <si>
    <t>ads_ffs_feature_fact_wfresume_rti.product_code</t>
  </si>
  <si>
    <t>页头展示；取自明细。product/tech 的主数据维表数仓已有 DIM_WIP_PROD_INFO_FULL，本模型不再重复建维表</t>
  </si>
  <si>
    <t>ads_ffs_feature_fact_wfresume_rti.stage_type</t>
  </si>
  <si>
    <t>wafer状态</t>
  </si>
  <si>
    <t>wafer_status</t>
  </si>
  <si>
    <t>基础信息，生命周期</t>
  </si>
  <si>
    <t>由 cp_status 派生：Processing=CP 测试尚未结束(展示当前 Step/进度/WAT·CP Pending)；Completed=CP 测试结束(WAT/CP 可参与结果类异常展示)</t>
  </si>
  <si>
    <t>口径待确认</t>
  </si>
  <si>
    <t>ads_ffs_feature_fact_wfresume_rti.proc_step_code</t>
  </si>
  <si>
    <t>当前Step</t>
  </si>
  <si>
    <t>ads_ffs_feature_fact_wfresume_rti.proc_step_number</t>
  </si>
  <si>
    <t>当前Step序号</t>
  </si>
  <si>
    <t>当前step序号</t>
  </si>
  <si>
    <t>cur_step_number</t>
  </si>
  <si>
    <t>同上取 proc_step_number</t>
  </si>
  <si>
    <t>ads_ffs_feature_fact_wfresume_rti.track_out_time</t>
  </si>
  <si>
    <t>最新数据时间</t>
  </si>
  <si>
    <t>latest_data_time</t>
  </si>
  <si>
    <t>ads_ffs_feature_fact_wfresume_rti.wafer_size</t>
  </si>
  <si>
    <t>取自明细</t>
  </si>
  <si>
    <t>Wafer Num</t>
  </si>
  <si>
    <t>wafer_code 形如 {lot_id}-{wafer_num}，本列取后段</t>
  </si>
  <si>
    <t>ads_ffs_feature_fact_wfresume_rti.route_ver</t>
  </si>
  <si>
    <t>取自明细。⚠原始源表只有 ROUTE_ID 无版本号，版本需另找来源</t>
  </si>
  <si>
    <t>ODS_YMS_T_DMS_WAFER_RAW_INFO_INCR.WAFER_DIAMETER</t>
  </si>
  <si>
    <t>来自 Wafer 原始检测信息表；当前未进 DWD，需补链路</t>
  </si>
  <si>
    <t>未进 DWD</t>
  </si>
  <si>
    <t>WAT结束</t>
  </si>
  <si>
    <t>wat结束时间</t>
  </si>
  <si>
    <t>wat_end_time</t>
  </si>
  <si>
    <t>生命周期</t>
  </si>
  <si>
    <t>WAT状态</t>
  </si>
  <si>
    <t>wat状态</t>
  </si>
  <si>
    <t>wat_status</t>
  </si>
  <si>
    <t>Pending（明细中无 stage_type='WAT' 的行）/ Done（有且已 track out）</t>
  </si>
  <si>
    <t>枚举待定</t>
  </si>
  <si>
    <t>CP结束</t>
  </si>
  <si>
    <t>cp结束时间</t>
  </si>
  <si>
    <t>cp_end_time</t>
  </si>
  <si>
    <t>CP状态</t>
  </si>
  <si>
    <t>cp状态</t>
  </si>
  <si>
    <t>cp_status</t>
  </si>
  <si>
    <t>生命周期，基础信息</t>
  </si>
  <si>
    <t>同 wat_status 口径；驱动 wafer_status 的 Processing/Completed 判定</t>
  </si>
  <si>
    <t>健康分</t>
  </si>
  <si>
    <t>Health Score</t>
  </si>
  <si>
    <t>health_score</t>
  </si>
  <si>
    <t>★= max(100 − 各类别扣分之和, 20)。判据：本列必须能由因子表一句 GROUP BY 推出，做不到即设计没闭环</t>
  </si>
  <si>
    <t>风险等级</t>
  </si>
  <si>
    <t>risk_level</t>
  </si>
  <si>
    <t>由 health_score 分档，档位阈值未给出</t>
  </si>
  <si>
    <t>分档阈值待定</t>
  </si>
  <si>
    <t>ads_ffs_feature_agg_wfresume_factor_rti.capped_deduct</t>
  </si>
  <si>
    <t>SPC扣分</t>
  </si>
  <si>
    <t>SPC类扣分</t>
  </si>
  <si>
    <t>deduct_spc</t>
  </si>
  <si>
    <t>★= min(SUM(capped_deduct WHERE category='SPC'), 该类别各单因子上限之和)</t>
  </si>
  <si>
    <t>Defect扣分</t>
  </si>
  <si>
    <t>Defect类扣分</t>
  </si>
  <si>
    <t>deduct_defect</t>
  </si>
  <si>
    <t>同上，category='DEFECT'。本期该类仅 YE on Duty Hold Result 一个因子(D-014)</t>
  </si>
  <si>
    <t>Tool扣分</t>
  </si>
  <si>
    <t>Tool/Chamber类扣分</t>
  </si>
  <si>
    <t>deduct_tool</t>
  </si>
  <si>
    <t>同上，category='TOOL'，含 AMS Alarm 与 Post PM Window 两因子(D-013)</t>
  </si>
  <si>
    <t>Rework扣分</t>
  </si>
  <si>
    <t>Rework类扣分</t>
  </si>
  <si>
    <t>deduct_rework</t>
  </si>
  <si>
    <t>同上，category='REWORK'</t>
  </si>
  <si>
    <t>Q-Time扣分</t>
  </si>
  <si>
    <t>Q-Time类扣分</t>
  </si>
  <si>
    <t>deduct_qtime</t>
  </si>
  <si>
    <t>同上，category='QTIME'</t>
  </si>
  <si>
    <t>WAT/CP扣分</t>
  </si>
  <si>
    <t>WAT/CP类扣分</t>
  </si>
  <si>
    <t>deduct_watcp</t>
  </si>
  <si>
    <t>同上，category='WATCP'</t>
  </si>
  <si>
    <t>Critical数</t>
  </si>
  <si>
    <t>Critical异常数</t>
  </si>
  <si>
    <t>cnt_critical</t>
  </si>
  <si>
    <t>异常统计</t>
  </si>
  <si>
    <t>★上游=明细（②为双上游：扣分类取自汇总①，统计类直接取自明细）。= COUNT(明细) WHERE severity='Critical' GROUP BY wafer_code</t>
  </si>
  <si>
    <t>High数</t>
  </si>
  <si>
    <t>High异常数</t>
  </si>
  <si>
    <t>cnt_high</t>
  </si>
  <si>
    <t>同上，severity='High'</t>
  </si>
  <si>
    <t>Medium数</t>
  </si>
  <si>
    <t>Medium异常数</t>
  </si>
  <si>
    <t>cnt_medium</t>
  </si>
  <si>
    <t>同上，severity='Medium'</t>
  </si>
  <si>
    <t>Low数</t>
  </si>
  <si>
    <t>Low异常数</t>
  </si>
  <si>
    <t>cnt_low</t>
  </si>
  <si>
    <t>同上，severity='Low'</t>
  </si>
  <si>
    <t>异常总数</t>
  </si>
  <si>
    <t>cnt_total</t>
  </si>
  <si>
    <t>★上游=明细。= COUNT(明细)。⚠双上游必须配对账：本列应恒等于 SUM(汇总①.event_qty)，不等即说明有明细行未能归入任何factor_code。PRD 已知问题「类型统计合计 12 ≠ 异常总数 15」正是此类漏归导致，ETL 须落一条断言把不一致暴露出来，不能让两条取数路径各说各话</t>
  </si>
  <si>
    <t>漏归因子的明细行需定位</t>
  </si>
  <si>
    <t>异常Step数</t>
  </si>
  <si>
    <t>anomaly_step_qty</t>
  </si>
  <si>
    <t>★上游=明细。= COUNT(DISTINCT proc_step_code)。纯展示指标、与扣分无勾稽关系，直连明细最准（跨因子天然去重，不会出现「不同因子落同一 step 被重复计数」的问题）。⚠cp 无工艺 step，该类异常不计入</t>
  </si>
  <si>
    <t>cp 不计入</t>
  </si>
  <si>
    <t>DWD_WIP_FLOW_STEP_INCR.STEP_NUM</t>
  </si>
  <si>
    <t>计划Step数</t>
  </si>
  <si>
    <t>计划process step数</t>
  </si>
  <si>
    <t>plan_step_qty</t>
  </si>
  <si>
    <t>★唯一无法由明细推出的生命周期字段：晶圆跑到 STEP 405 时，履历里没有 406~1000 的行，计划总数只能取自产品 FLOW 定义，故保留旁路</t>
  </si>
  <si>
    <t>ads_ffs_feature_fact_wfresume_rti.event_type</t>
  </si>
  <si>
    <t>Rework追加</t>
  </si>
  <si>
    <t>rework追加step数</t>
  </si>
  <si>
    <t>rework_add_step_qty</t>
  </si>
  <si>
    <t>实际总Step</t>
  </si>
  <si>
    <t>实际总step数</t>
  </si>
  <si>
    <t>actual_total_step_qty</t>
  </si>
  <si>
    <t>已执行Step</t>
  </si>
  <si>
    <t>已执行step数</t>
  </si>
  <si>
    <t>executed_step_qty</t>
  </si>
  <si>
    <t>生命周期进度</t>
  </si>
  <si>
    <t>lifecycle_progress</t>
  </si>
  <si>
    <t>Rework次数</t>
  </si>
  <si>
    <t>rework次数</t>
  </si>
  <si>
    <t>rework_qty</t>
  </si>
  <si>
    <t>生命周期，异常统计</t>
  </si>
  <si>
    <t>唯一dn编码</t>
  </si>
  <si>
    <t>unique_dn_code</t>
  </si>
  <si>
    <t>DNID</t>
  </si>
  <si>
    <t>DN ID</t>
  </si>
  <si>
    <t>dn编码</t>
  </si>
  <si>
    <t>dn_code</t>
  </si>
  <si>
    <t>涉及Lot ID</t>
  </si>
  <si>
    <t>SCAN_STEP</t>
  </si>
  <si>
    <t>YE scan站点</t>
  </si>
  <si>
    <t>DEFECT_TYPE</t>
  </si>
  <si>
    <t>defect_type</t>
  </si>
  <si>
    <t>ISSUE_DATE</t>
  </si>
  <si>
    <t>发DN日期</t>
  </si>
  <si>
    <t>发起日期</t>
  </si>
  <si>
    <t>issue_date</t>
  </si>
  <si>
    <t>ISSUE_TIME</t>
  </si>
  <si>
    <t>发DN时间</t>
  </si>
  <si>
    <t>发起时间</t>
  </si>
  <si>
    <t>issue_time</t>
  </si>
  <si>
    <t>PRODUCT</t>
  </si>
  <si>
    <t>涉及产品</t>
  </si>
  <si>
    <t>DEFECT_LIBRARY_ID</t>
  </si>
  <si>
    <t>所用DL ID</t>
  </si>
  <si>
    <t>关联dl编码</t>
  </si>
  <si>
    <t>ref_dl_code</t>
  </si>
  <si>
    <t>ISSUE_OWNER</t>
  </si>
  <si>
    <t>发起人</t>
  </si>
  <si>
    <t>issue_owner</t>
  </si>
  <si>
    <t>MODULE_FEEDBACK</t>
  </si>
  <si>
    <t>Module是否FeedBack</t>
  </si>
  <si>
    <t>module反馈</t>
  </si>
  <si>
    <t>is_module_feedback</t>
  </si>
  <si>
    <t>YE_OWNER</t>
  </si>
  <si>
    <t>YE Owner</t>
  </si>
  <si>
    <t>ye负责人</t>
  </si>
  <si>
    <t>ye_owner</t>
  </si>
  <si>
    <t>CASE_STATUS</t>
  </si>
  <si>
    <t>DN状态</t>
  </si>
  <si>
    <t>case状态</t>
  </si>
  <si>
    <t>case_status</t>
  </si>
  <si>
    <t>ROOT_CAUSE</t>
  </si>
  <si>
    <t>根因是否明确</t>
  </si>
  <si>
    <t>根因状态</t>
  </si>
  <si>
    <t>root_cause_status</t>
  </si>
  <si>
    <t>INLINE_HL</t>
  </si>
  <si>
    <t>在线组HL step是否正确</t>
  </si>
  <si>
    <t>inline hl正确</t>
  </si>
  <si>
    <t>is_inline_hl_correct</t>
  </si>
  <si>
    <t>LEVEL</t>
  </si>
  <si>
    <t>DN等级</t>
  </si>
  <si>
    <t>dn等级</t>
  </si>
  <si>
    <t>dn_level</t>
  </si>
  <si>
    <t>DUE_DAY</t>
  </si>
  <si>
    <t>Follow截止日期</t>
  </si>
  <si>
    <t>截止日期</t>
  </si>
  <si>
    <t>due_date</t>
  </si>
  <si>
    <t>DEFECT_MAP</t>
  </si>
  <si>
    <t>Defect Map类型</t>
  </si>
  <si>
    <t>defect map类型</t>
  </si>
  <si>
    <t>defect_map_type</t>
  </si>
  <si>
    <t>EDX元素种类</t>
  </si>
  <si>
    <t>TOOL</t>
  </si>
  <si>
    <t>HL机台</t>
  </si>
  <si>
    <t>机台编码</t>
  </si>
  <si>
    <t>HL_COUNT</t>
  </si>
  <si>
    <t>HL机台过去一个月被HL次数</t>
  </si>
  <si>
    <t>hl次数</t>
  </si>
  <si>
    <t>hl_times</t>
  </si>
  <si>
    <t>HL Module</t>
  </si>
  <si>
    <t>TOOL_ACTION</t>
  </si>
  <si>
    <t>机台建议动作</t>
  </si>
  <si>
    <t>机台动作</t>
  </si>
  <si>
    <t>tool_action</t>
  </si>
  <si>
    <t>OPHL</t>
  </si>
  <si>
    <t>是否OP HL</t>
  </si>
  <si>
    <t>是否op hl</t>
  </si>
  <si>
    <t>is_op_hl</t>
  </si>
  <si>
    <t>DRB</t>
  </si>
  <si>
    <t>需要DRB的wafer片数</t>
  </si>
  <si>
    <t>drb片数</t>
  </si>
  <si>
    <t>drb_wafer_qty</t>
  </si>
  <si>
    <t>SCRAP</t>
  </si>
  <si>
    <t>需要Scrap的wafer片数</t>
  </si>
  <si>
    <t>scrap片数</t>
  </si>
  <si>
    <t>scrap_wafer_qty</t>
  </si>
  <si>
    <t>REWORK</t>
  </si>
  <si>
    <t>是否Rework</t>
  </si>
  <si>
    <t>EXCURSION</t>
  </si>
  <si>
    <t>是否Excursion Case</t>
  </si>
  <si>
    <t>是否excursion</t>
  </si>
  <si>
    <t>is_excursion</t>
  </si>
  <si>
    <t>UPDATE_USER</t>
  </si>
  <si>
    <t>更新人</t>
  </si>
  <si>
    <t>update_user</t>
  </si>
  <si>
    <t>STATUS_CHANGE_TIME</t>
  </si>
  <si>
    <t>状态改变时间</t>
  </si>
  <si>
    <t>状态变更时间</t>
  </si>
  <si>
    <t>status_change_time</t>
  </si>
  <si>
    <t>STATUS_CHANGE_OWNER</t>
  </si>
  <si>
    <t>状态改变Owner</t>
  </si>
  <si>
    <t>状态变更人</t>
  </si>
  <si>
    <t>status_change_owner</t>
  </si>
  <si>
    <t>DIM_CP_BIN_COLOR_CONF_FULL</t>
  </si>
  <si>
    <t>唯一cp bin编码</t>
  </si>
  <si>
    <t>unique_cp_bin_code</t>
  </si>
  <si>
    <t>ID AS unique_cp_bin_code,</t>
  </si>
  <si>
    <t>DATA_TYPE</t>
  </si>
  <si>
    <t>CP/FT/Defect</t>
  </si>
  <si>
    <t>data类型</t>
  </si>
  <si>
    <t>data_type</t>
  </si>
  <si>
    <t>DATA_TYPE AS data_type,</t>
  </si>
  <si>
    <t>CP/FT:Softbin_Number/Hardbin_Number
Defect:Classnumber,Roughbinnumber,
Finebinnumber</t>
  </si>
  <si>
    <t>BIN_NUM</t>
  </si>
  <si>
    <t>cp分类编码</t>
  </si>
  <si>
    <t>cp_bin_code</t>
  </si>
  <si>
    <t>BIN_NUM AS cp_bin_code,</t>
  </si>
  <si>
    <t>BIN_GROUP</t>
  </si>
  <si>
    <t>分类分组</t>
  </si>
  <si>
    <t>bin_group</t>
  </si>
  <si>
    <t>BIN_GROUP AS bin_group,</t>
  </si>
  <si>
    <t>COLOR</t>
  </si>
  <si>
    <t>颜色的16进制表示：FF00FF00</t>
  </si>
  <si>
    <t>color</t>
  </si>
  <si>
    <t>COLOR AS color,</t>
  </si>
  <si>
    <t>GROUP_COLOR</t>
  </si>
  <si>
    <t>color分组</t>
  </si>
  <si>
    <t>color_group</t>
  </si>
  <si>
    <t>GROUP_COLOR AS color_group,</t>
  </si>
  <si>
    <t>CDATE_TIME</t>
  </si>
  <si>
    <t>CDATE_TIME AS create_time,</t>
  </si>
  <si>
    <t>UDATE_TIME</t>
  </si>
  <si>
    <t>UDATE_TIME AS update_time,</t>
  </si>
  <si>
    <t>唯一unique编码</t>
  </si>
  <si>
    <t>unique_eqp_code</t>
  </si>
  <si>
    <t>DIM_AMS_EQP_CONFIG_LAYOUT_STRUCTURE_FULL</t>
  </si>
  <si>
    <t>0.6，Impact_Lot</t>
  </si>
  <si>
    <t>MODULE AS module_code,</t>
  </si>
  <si>
    <t>EQP_TYPE</t>
  </si>
  <si>
    <t>机台类型</t>
  </si>
  <si>
    <t>eqp_type</t>
  </si>
  <si>
    <t>EQP_TYPE AS eqp_type,</t>
  </si>
  <si>
    <t>黄金机台</t>
  </si>
  <si>
    <t>golden_tool</t>
  </si>
  <si>
    <t>黄金机台状态</t>
  </si>
  <si>
    <t>golden_tool_status</t>
  </si>
  <si>
    <t>实时，状态判定</t>
  </si>
  <si>
    <t>配方状态</t>
  </si>
  <si>
    <t>recipe_status</t>
  </si>
  <si>
    <t>机台能力</t>
  </si>
  <si>
    <t>0.7路宽,vFab大屏</t>
  </si>
  <si>
    <t>机台能力状态</t>
  </si>
  <si>
    <t>capability_status</t>
  </si>
  <si>
    <t>eqp_name</t>
  </si>
  <si>
    <t>机台状态</t>
  </si>
  <si>
    <t>eqp_status</t>
  </si>
  <si>
    <t>down,保养防护</t>
  </si>
  <si>
    <t>工艺约束</t>
  </si>
  <si>
    <t>constraint</t>
  </si>
  <si>
    <t>约束状态</t>
  </si>
  <si>
    <t>constraint_status</t>
  </si>
  <si>
    <t>实时</t>
  </si>
  <si>
    <t>vFab大屏,0.7路宽</t>
  </si>
  <si>
    <t>区域编码</t>
  </si>
  <si>
    <t>腔室数量</t>
  </si>
  <si>
    <t>chamber_qty</t>
  </si>
  <si>
    <t>腔室</t>
  </si>
  <si>
    <t>chamber_list</t>
  </si>
  <si>
    <t>，Impact_Lot</t>
  </si>
  <si>
    <t>capacity</t>
  </si>
  <si>
    <t>vFab大屏，Impact_Lot</t>
  </si>
  <si>
    <t>机台group编码</t>
  </si>
  <si>
    <t>eqp_group_code</t>
  </si>
  <si>
    <t>机台group名称</t>
  </si>
  <si>
    <t>eqp_group_name</t>
  </si>
  <si>
    <t>module名称</t>
  </si>
  <si>
    <t>module_name</t>
  </si>
  <si>
    <t>function类型</t>
  </si>
  <si>
    <t>function_type</t>
  </si>
  <si>
    <t>buffer类型</t>
  </si>
  <si>
    <t>buffer_type</t>
  </si>
  <si>
    <t>当前recipe编码</t>
  </si>
  <si>
    <t>cur_recipe_code</t>
  </si>
  <si>
    <t>vFab大屏,0.7路宽，Impact_Lot</t>
  </si>
  <si>
    <t>统计周所属周</t>
  </si>
  <si>
    <t>statistic_w_week</t>
  </si>
  <si>
    <t>统计周所属月</t>
  </si>
  <si>
    <t>statistic_w_month</t>
  </si>
  <si>
    <t>统计周所属年</t>
  </si>
  <si>
    <t>statistic_w_year</t>
  </si>
  <si>
    <t>ADS_AMS_ACTION_COUNT_BY_TYPE_INCR</t>
  </si>
  <si>
    <t>ALARM_ACTION_COUNT</t>
  </si>
  <si>
    <t>本周以来报警动作次数</t>
  </si>
  <si>
    <t>alarm_action_times_tw</t>
  </si>
  <si>
    <t>本月以来报警动作次数</t>
  </si>
  <si>
    <t>alarm_action_times_tm</t>
  </si>
  <si>
    <t>本年以来报警动作次数</t>
  </si>
  <si>
    <t>alarm_action_times_ty</t>
  </si>
  <si>
    <t>今日以来报警动作次数</t>
  </si>
  <si>
    <t>alarm_action_times_tt</t>
  </si>
  <si>
    <t>状态变更</t>
  </si>
  <si>
    <t>当前状态</t>
  </si>
  <si>
    <t>cur_state</t>
  </si>
  <si>
    <t>上一状态</t>
  </si>
  <si>
    <t>last_state</t>
  </si>
  <si>
    <t>保养</t>
  </si>
  <si>
    <t>上次保养时间</t>
  </si>
  <si>
    <t>last_pm_time</t>
  </si>
  <si>
    <t>上次保养距今天数</t>
  </si>
  <si>
    <t>last_pm_int_d</t>
  </si>
  <si>
    <t>上次保养时长（小时）</t>
  </si>
  <si>
    <t>last_pm_dur_h</t>
  </si>
  <si>
    <t>上次保养类型</t>
  </si>
  <si>
    <t>last_pm_type</t>
  </si>
  <si>
    <t>下次计划保养开始时间</t>
  </si>
  <si>
    <t>下次计划保养id</t>
  </si>
  <si>
    <t>下次计划保养结束时间</t>
  </si>
  <si>
    <t>下次计划保养持续时长（小时）</t>
  </si>
  <si>
    <t>下次计划保养预计恢复时间</t>
  </si>
  <si>
    <t>下次计划保养类型</t>
  </si>
  <si>
    <t>下次计划保养范围</t>
  </si>
  <si>
    <t>下次计划保养chanber</t>
  </si>
  <si>
    <t>下次计划保养状态</t>
  </si>
  <si>
    <t>下次计划保养owner</t>
  </si>
  <si>
    <t>生产</t>
  </si>
  <si>
    <t>今日run货时长(小时）</t>
  </si>
  <si>
    <t>run_dur_h</t>
  </si>
  <si>
    <t>今日IDLE时长（小时）</t>
  </si>
  <si>
    <t>idle_dur_h</t>
  </si>
  <si>
    <t>今日加工wafer数量</t>
  </si>
  <si>
    <t>run_wafer_qty_tt</t>
  </si>
  <si>
    <t>今日加工wafer次数</t>
  </si>
  <si>
    <t>run_wafer_times_tt</t>
  </si>
  <si>
    <t>每小时加工的wafer数</t>
  </si>
  <si>
    <t>wph</t>
  </si>
  <si>
    <t>当前加工的wafer列表</t>
  </si>
  <si>
    <t>wip_list</t>
  </si>
  <si>
    <t>当前加工的lot列表</t>
  </si>
  <si>
    <t>lip_list</t>
  </si>
  <si>
    <t>最近TrackIn的lot编码</t>
  </si>
  <si>
    <t>last_track_in_lot_code</t>
  </si>
  <si>
    <t>最近TrackIn时间</t>
  </si>
  <si>
    <t>d</t>
  </si>
  <si>
    <t>ads_ffs_feature_fact_eqpd_rti</t>
  </si>
  <si>
    <t>id AS `unique_record_id#v1`,</t>
  </si>
  <si>
    <t>Impact_Lot</t>
  </si>
  <si>
    <t>dwd_eqp_eqp_state_his_rt
表描述：机台状态历史表</t>
  </si>
  <si>
    <t>fab_id</t>
  </si>
  <si>
    <t>工厂id</t>
  </si>
  <si>
    <t>fab_id AS `fac_code#v1`,</t>
  </si>
  <si>
    <t>eqp_id</t>
  </si>
  <si>
    <t>设备id</t>
  </si>
  <si>
    <t>eqp_id AS `eqp_code#v1`,</t>
  </si>
  <si>
    <t>设备名称</t>
  </si>
  <si>
    <t>eqp_name AS `eqp_name#v1`,</t>
  </si>
  <si>
    <t>设备类型</t>
  </si>
  <si>
    <t>eqp_type AS `eqp_type#v1`,</t>
  </si>
  <si>
    <t>ch_eqp_type</t>
  </si>
  <si>
    <t>乘黄设备名称</t>
  </si>
  <si>
    <t>机台类型中文名称</t>
  </si>
  <si>
    <t>ch_eqp_type AS `eqp_type_cn_name#v1`,</t>
  </si>
  <si>
    <t>area_name</t>
  </si>
  <si>
    <t>设备区域</t>
  </si>
  <si>
    <t>区域名称</t>
  </si>
  <si>
    <t>area_name AS `area_name#v1`,</t>
  </si>
  <si>
    <t>original_before_state</t>
  </si>
  <si>
    <t>源变更前状态</t>
  </si>
  <si>
    <t>original_before_state AS `src_before_state#v1`,</t>
  </si>
  <si>
    <t>before_state</t>
  </si>
  <si>
    <t>变更前状态</t>
  </si>
  <si>
    <t>before_state AS `before_state#v1`,</t>
  </si>
  <si>
    <t>before_state_name</t>
  </si>
  <si>
    <t>变更前状态名</t>
  </si>
  <si>
    <t>变更前状态名称</t>
  </si>
  <si>
    <t>before_state_name AS `before_state_name#v1`,</t>
  </si>
  <si>
    <t>before_state_seq</t>
  </si>
  <si>
    <t>变更前状态排序</t>
  </si>
  <si>
    <t>before_state_seq AS `before_state_seq#v1`,</t>
  </si>
  <si>
    <t>original_after_state</t>
  </si>
  <si>
    <t>源变更后状态</t>
  </si>
  <si>
    <t>src_after_state</t>
  </si>
  <si>
    <t>original_after_state AS `src_after_state#v1`,</t>
  </si>
  <si>
    <t>after_state</t>
  </si>
  <si>
    <t>变更后状态</t>
  </si>
  <si>
    <t>after_state AS `after_state#v1`,</t>
  </si>
  <si>
    <t>after_state_name</t>
  </si>
  <si>
    <t>变更后状态名</t>
  </si>
  <si>
    <t>变更后状态名称</t>
  </si>
  <si>
    <t>after_state_name AS `after_state_name#v1`,</t>
  </si>
  <si>
    <t>after_state_seq</t>
  </si>
  <si>
    <t>变更后状态排序</t>
  </si>
  <si>
    <t>after_state_seq AS `after_state_seq#v1`,</t>
  </si>
  <si>
    <t>state_type</t>
  </si>
  <si>
    <t>状态类型</t>
  </si>
  <si>
    <t>state_type AS `state_type#v1`,</t>
  </si>
  <si>
    <t>begin_time</t>
  </si>
  <si>
    <t>状态开始时间</t>
  </si>
  <si>
    <t>state_start_time</t>
  </si>
  <si>
    <t>begin_time AS `state_start_time#v1`,</t>
  </si>
  <si>
    <t>end_time</t>
  </si>
  <si>
    <t>状态结束时间</t>
  </si>
  <si>
    <t>state_end_time</t>
  </si>
  <si>
    <t>end_time AS `state_end_time#v1`,</t>
  </si>
  <si>
    <t>duration</t>
  </si>
  <si>
    <t>时长</t>
  </si>
  <si>
    <t>状态持续时长（秒）</t>
  </si>
  <si>
    <t>state_dur_sec</t>
  </si>
  <si>
    <t>duration AS `state_dur_sec#v1`,</t>
  </si>
  <si>
    <t>activity</t>
  </si>
  <si>
    <t>活动</t>
  </si>
  <si>
    <t>activity AS `activity#v1`,</t>
  </si>
  <si>
    <t>event</t>
  </si>
  <si>
    <t>事件</t>
  </si>
  <si>
    <t>event AS `event#v1`,</t>
  </si>
  <si>
    <t>lot_names</t>
  </si>
  <si>
    <t>lot名称列表</t>
  </si>
  <si>
    <t>lot_name_list</t>
  </si>
  <si>
    <t>lot_names AS `lot_name_list#v1`,</t>
  </si>
  <si>
    <t>proc_time AS `proc_time#v1`,</t>
  </si>
  <si>
    <t>AS `_biz_ts_#v1`,</t>
  </si>
  <si>
    <t>唯一chart类型编码</t>
  </si>
  <si>
    <t>unique_chart_type_code</t>
  </si>
  <si>
    <t>ads_ffs_chartlim_dim_rt</t>
  </si>
  <si>
    <t>chart类型编码</t>
  </si>
  <si>
    <t>chart_type_code</t>
  </si>
  <si>
    <t>外键→chart</t>
  </si>
  <si>
    <t>chart编码</t>
  </si>
  <si>
    <t>chart_code</t>
  </si>
  <si>
    <t>DT</t>
  </si>
  <si>
    <t>分区字段</t>
  </si>
  <si>
    <t>tool match YE 0.7</t>
  </si>
  <si>
    <t>上下文</t>
  </si>
  <si>
    <t>关联 chart 上下文</t>
  </si>
  <si>
    <t>EDC_PLAN_NAME</t>
  </si>
  <si>
    <t>EDC PLAN NAME</t>
  </si>
  <si>
    <t>edc计划名称</t>
  </si>
  <si>
    <t>edc_plan_name</t>
  </si>
  <si>
    <t>limit 所属采集计划</t>
  </si>
  <si>
    <t>关联量测项(一个 item_name 挂多 chart)</t>
  </si>
  <si>
    <t>取有效版本 limit</t>
  </si>
  <si>
    <t>取最新版本</t>
  </si>
  <si>
    <t>JOB名称</t>
  </si>
  <si>
    <t>JOB类型</t>
  </si>
  <si>
    <t>控制下限；XBAR 行=XbarLcl，机差规则B (XbarUcl-XbarLcl)/8</t>
  </si>
  <si>
    <t>中心线(Xbar 中心)</t>
  </si>
  <si>
    <t>控制上限；机差规则A (UCL-0)/5；XBAR 行=XbarUcl</t>
  </si>
  <si>
    <t>规格上限 USL → Cpk 页 CPK/K 计算</t>
  </si>
  <si>
    <t>limit_spec_lo</t>
  </si>
  <si>
    <t>规格下限 LSL → Cpk 页 CPK/K 计算</t>
  </si>
  <si>
    <t>趋势图目标线</t>
  </si>
  <si>
    <t>_CODE_</t>
  </si>
  <si>
    <t>_CODE</t>
  </si>
  <si>
    <t>I</t>
  </si>
  <si>
    <t>写死:SPC
写死:Defect</t>
  </si>
  <si>
    <t>适用状态</t>
  </si>
  <si>
    <t>apply_status</t>
  </si>
  <si>
    <t>3337-基础配置信息</t>
  </si>
  <si>
    <t>计算状态</t>
  </si>
  <si>
    <t>calc_status</t>
  </si>
  <si>
    <t>生效配置</t>
  </si>
  <si>
    <t>effective_config</t>
  </si>
  <si>
    <t>配置更新时间</t>
  </si>
  <si>
    <t>config_update_time</t>
  </si>
  <si>
    <t>3天窗口σ倍数</t>
  </si>
  <si>
    <t>sigma_multiple_3d</t>
  </si>
  <si>
    <t>7天窗口σ倍数</t>
  </si>
  <si>
    <t>sigma_multiple_7d</t>
  </si>
  <si>
    <t>3周窗口σ倍数</t>
  </si>
  <si>
    <t>sigma_multiple_3w</t>
  </si>
  <si>
    <t>3月窗口σ倍数</t>
  </si>
  <si>
    <t>sigma_multiple_3m</t>
  </si>
  <si>
    <t>最小样本数</t>
  </si>
  <si>
    <t>min_sample_qty</t>
  </si>
  <si>
    <t>覆盖率要求</t>
  </si>
  <si>
    <t>coverage_rate_req</t>
  </si>
  <si>
    <t>异常剔除方法</t>
  </si>
  <si>
    <t>outlier_removal_method</t>
  </si>
  <si>
    <t>数据不足处理</t>
  </si>
  <si>
    <t>insufficient_data_handling</t>
  </si>
  <si>
    <t>规则id</t>
  </si>
  <si>
    <t>规则编码</t>
  </si>
  <si>
    <t>rule_code</t>
  </si>
  <si>
    <t>defect chart 基础配置信息</t>
  </si>
  <si>
    <t>规则名称</t>
  </si>
  <si>
    <t>rule_name</t>
  </si>
  <si>
    <t>数据域</t>
  </si>
  <si>
    <t>data_domain</t>
  </si>
  <si>
    <t>适用范围</t>
  </si>
  <si>
    <t>apply_scope</t>
  </si>
  <si>
    <t>分组维度</t>
  </si>
  <si>
    <t>group_dim</t>
  </si>
  <si>
    <t>点位粒度</t>
  </si>
  <si>
    <t>point_granularity</t>
  </si>
  <si>
    <t>最小点数</t>
  </si>
  <si>
    <t>min_point_qty</t>
  </si>
  <si>
    <t>规则状态</t>
  </si>
  <si>
    <t>rule_status</t>
  </si>
  <si>
    <t>MonitorSeries 列表</t>
  </si>
  <si>
    <t>bin_number</t>
  </si>
  <si>
    <t>SACN_EQP</t>
  </si>
  <si>
    <t>扫描机台</t>
  </si>
  <si>
    <t>scan_eqp_code</t>
  </si>
  <si>
    <t>ads_ffs_feature_fact_chartlim_rti</t>
  </si>
  <si>
    <t>defect相关数据在聚合数值后，参与被聚合的维度数据可能会是一个列表</t>
  </si>
  <si>
    <t>chart_code
MonitorSeries</t>
  </si>
  <si>
    <t>DWD_METRO_ITEM_VALUE_INCR
DWD_DEFECT_SCAN_DETAIL_INCR</t>
  </si>
  <si>
    <t>TECHNOLOGY
TECH_ID</t>
  </si>
  <si>
    <t>defect中为根据统计结果值打入对应的维度数据</t>
  </si>
  <si>
    <t>LOT_METRO_END_TIME
insp_end_time</t>
  </si>
  <si>
    <t>量测结束时间</t>
  </si>
  <si>
    <t>PROC_STEP_ID
STEP_ID</t>
  </si>
  <si>
    <t>PROC_STEP_SEQ
STPE_NUMBER</t>
  </si>
  <si>
    <t>AREA
area</t>
  </si>
  <si>
    <t>Parameter</t>
  </si>
  <si>
    <t>PROC_RECIPE_ID
RECIPE_ID</t>
  </si>
  <si>
    <t>量测值</t>
  </si>
  <si>
    <t>DWD_DEFECT_SCAN_DETAIL_INCR</t>
  </si>
  <si>
    <t>方案，合并于item_name</t>
  </si>
  <si>
    <t>缺陷数量</t>
  </si>
  <si>
    <t>defect_qty</t>
  </si>
  <si>
    <t>defect中间过程统计数据</t>
  </si>
  <si>
    <t>考虑1，和3337卡控数据合并在json中
考虑2，指标类型(维表中已存在)+值(1单一也在)，例：缺陷数，45，3337相关数据不放入json中</t>
  </si>
  <si>
    <t>平均缺陷数量</t>
  </si>
  <si>
    <t>defect_qty_mean</t>
  </si>
  <si>
    <t>扫描晶圆数量</t>
  </si>
  <si>
    <t>scan_wafer_qty</t>
  </si>
  <si>
    <t>SCAN_AREA</t>
  </si>
  <si>
    <t>DEFECT_COUNT/SCAN_AREA</t>
  </si>
  <si>
    <t>缺陷密度</t>
  </si>
  <si>
    <t>defect_density</t>
  </si>
  <si>
    <t>已生成数</t>
  </si>
  <si>
    <t>已生成chart数</t>
  </si>
  <si>
    <t>generated_chart_qty</t>
  </si>
  <si>
    <t>defect chart 生成规则配置-列表</t>
  </si>
  <si>
    <t>规则更新时间</t>
  </si>
  <si>
    <t>rule_update_time</t>
  </si>
  <si>
    <t>点数</t>
  </si>
  <si>
    <t>点位数量</t>
  </si>
  <si>
    <t>point_qty</t>
  </si>
  <si>
    <t>MonitorSeries-列表</t>
  </si>
  <si>
    <t>最近点位时间</t>
  </si>
  <si>
    <t>last_point_time</t>
  </si>
  <si>
    <t>序列状态</t>
  </si>
  <si>
    <t>series_status</t>
  </si>
  <si>
    <t>3337-列表数据</t>
  </si>
  <si>
    <t>3337-3d-UBL</t>
  </si>
  <si>
    <t>3天窗口上基准线</t>
  </si>
  <si>
    <t>ubl_3d</t>
  </si>
  <si>
    <t>3337-3d</t>
  </si>
  <si>
    <t>3337-3d-CL</t>
  </si>
  <si>
    <t>3天窗口中心线</t>
  </si>
  <si>
    <t>cl_3d</t>
  </si>
  <si>
    <t>3337-3d-LBL</t>
  </si>
  <si>
    <t>3天窗口下基准线</t>
  </si>
  <si>
    <t>lbl_3d</t>
  </si>
  <si>
    <t>3337-3d-σ</t>
  </si>
  <si>
    <t>3天窗口标准差</t>
  </si>
  <si>
    <t>stdev_3d</t>
  </si>
  <si>
    <t>3337-3d-K</t>
  </si>
  <si>
    <t>3天窗口K值</t>
  </si>
  <si>
    <t>k_3d</t>
  </si>
  <si>
    <t>3337-3d-样本数</t>
  </si>
  <si>
    <t>3天窗口样本数</t>
  </si>
  <si>
    <t>sample_qty_3d</t>
  </si>
  <si>
    <t>3337-3d-覆盖率</t>
  </si>
  <si>
    <t>3天窗口覆盖率</t>
  </si>
  <si>
    <t>coverage_rate_3d</t>
  </si>
  <si>
    <t>3337-3d-状态</t>
  </si>
  <si>
    <t>3天窗口计算状态</t>
  </si>
  <si>
    <t>calc_status_3d</t>
  </si>
  <si>
    <t>3337-7d-UBL</t>
  </si>
  <si>
    <t>7天窗口上基准线</t>
  </si>
  <si>
    <t>ubl_7d</t>
  </si>
  <si>
    <t>3337-7d</t>
  </si>
  <si>
    <t>3337-7d-CL</t>
  </si>
  <si>
    <t>7天窗口中心线</t>
  </si>
  <si>
    <t>cl_7d</t>
  </si>
  <si>
    <t>3337-7d-LBL</t>
  </si>
  <si>
    <t>7天窗口下基准线</t>
  </si>
  <si>
    <t>lbl_7d</t>
  </si>
  <si>
    <t>3337-7d-σ</t>
  </si>
  <si>
    <t>7天窗口标准差</t>
  </si>
  <si>
    <t>stdev_7d</t>
  </si>
  <si>
    <t>3337-7d-K</t>
  </si>
  <si>
    <t>7天窗口K值</t>
  </si>
  <si>
    <t>k_7d</t>
  </si>
  <si>
    <t>3337-7d-样本数</t>
  </si>
  <si>
    <t>7天窗口样本数</t>
  </si>
  <si>
    <t>sample_qty_7d</t>
  </si>
  <si>
    <t>3337-7d-覆盖率</t>
  </si>
  <si>
    <t>7天窗口覆盖率</t>
  </si>
  <si>
    <t>coverage_rate_7d</t>
  </si>
  <si>
    <t>3337-7d-状态</t>
  </si>
  <si>
    <t>7天窗口计算状态</t>
  </si>
  <si>
    <t>calc_status_7d</t>
  </si>
  <si>
    <t>3337-3w-UBL</t>
  </si>
  <si>
    <t>3周窗口上基准线</t>
  </si>
  <si>
    <t>ubl_3w</t>
  </si>
  <si>
    <t>3337-3w</t>
  </si>
  <si>
    <t>3337-3w-CL</t>
  </si>
  <si>
    <t>3周窗口中心线</t>
  </si>
  <si>
    <t>cl_3w</t>
  </si>
  <si>
    <t>3337-3w-LBL</t>
  </si>
  <si>
    <t>3周窗口下基准线</t>
  </si>
  <si>
    <t>lbl_3w</t>
  </si>
  <si>
    <t>3337-3w-σ</t>
  </si>
  <si>
    <t>3周窗口标准差</t>
  </si>
  <si>
    <t>stdev_3w</t>
  </si>
  <si>
    <t>3337-3w-K</t>
  </si>
  <si>
    <t>3周窗口K值</t>
  </si>
  <si>
    <t>k_3w</t>
  </si>
  <si>
    <t>3337-3w-样本数</t>
  </si>
  <si>
    <t>3周窗口样本数</t>
  </si>
  <si>
    <t>sample_qty_3w</t>
  </si>
  <si>
    <t>3337-3w-覆盖率</t>
  </si>
  <si>
    <t>3周窗口覆盖率</t>
  </si>
  <si>
    <t>coverage_rate_3w</t>
  </si>
  <si>
    <t>3337-3w-状态</t>
  </si>
  <si>
    <t>3周窗口计算状态</t>
  </si>
  <si>
    <t>calc_status_3w</t>
  </si>
  <si>
    <t>3337-3m-UBL</t>
  </si>
  <si>
    <t>3月窗口上基准线</t>
  </si>
  <si>
    <t>ubl_3m</t>
  </si>
  <si>
    <t>3337-3m</t>
  </si>
  <si>
    <t>3337-3m-CL</t>
  </si>
  <si>
    <t>3月窗口中心线</t>
  </si>
  <si>
    <t>cl_3m</t>
  </si>
  <si>
    <t>3337-3m-LBL</t>
  </si>
  <si>
    <t>3月窗口下基准线</t>
  </si>
  <si>
    <t>lbl_3m</t>
  </si>
  <si>
    <t>3337-3m-σ</t>
  </si>
  <si>
    <t>3月窗口标准差</t>
  </si>
  <si>
    <t>stdev_3m</t>
  </si>
  <si>
    <t>3337-3m-K</t>
  </si>
  <si>
    <t>3月窗口K值</t>
  </si>
  <si>
    <t>k_3m</t>
  </si>
  <si>
    <t>3337-3m-样本数</t>
  </si>
  <si>
    <t>3月窗口样本数</t>
  </si>
  <si>
    <t>sample_qty_3m</t>
  </si>
  <si>
    <t>3337-3m-覆盖率</t>
  </si>
  <si>
    <t>3月窗口覆盖率</t>
  </si>
  <si>
    <t>coverage_rate_3m</t>
  </si>
  <si>
    <t>3337-3m-状态</t>
  </si>
  <si>
    <t>3月窗口计算状态</t>
  </si>
  <si>
    <t>calc_status_3m</t>
  </si>
  <si>
    <t>数据主题域名称</t>
  </si>
  <si>
    <t>编码</t>
  </si>
  <si>
    <t>描述</t>
  </si>
  <si>
    <t>组织域</t>
  </si>
  <si>
    <t>org</t>
  </si>
  <si>
    <t>涵盖组织结构，如科室、系统、子系统等</t>
  </si>
  <si>
    <t>地理域</t>
  </si>
  <si>
    <t>lct</t>
  </si>
  <si>
    <t>涵盖厂区、建筑、楼层、房间、区域等</t>
  </si>
  <si>
    <t>原料域</t>
  </si>
  <si>
    <t>工单执行、设备加工、在制品追踪、各工艺（step到flow）、产品</t>
  </si>
  <si>
    <t>测试、缺陷检测、计量测量</t>
  </si>
  <si>
    <t>运维域</t>
  </si>
  <si>
    <t>设备状态事件、预防性维护、零备件更换</t>
  </si>
  <si>
    <r>
      <rPr>
        <b val="false"/>
        <i val="false"/>
        <strike val="false"/>
        <color rgb="FF000000"/>
        <sz val="10"/>
      </rPr>
      <t>每一种defect的信息，包含bin code，bin name，defect count（DC），normalized defect count（normalized_dc）,defect image,dcspec
normalized_dc计算规则：</t>
    </r>
    <r>
      <rPr>
        <b val="false"/>
        <i val="false"/>
        <strike val="false"/>
        <color rgb="FF000000"/>
        <sz val="10"/>
      </rPr>
      <t xml:space="preserve">dc * DC / Class. DC
</t>
    </r>
  </si>
  <si>
    <r>
      <rPr>
        <b val="false"/>
        <i val="false"/>
        <strike val="false"/>
        <color rgb="FF000000"/>
        <sz val="10"/>
        <u val="none"/>
      </rPr>
      <t>Chart 页 TREND/XBAR 面板；决定用哪套 limit，</t>
    </r>
    <r>
      <rPr>
        <b val="false"/>
        <i val="false"/>
        <strike val="false"/>
        <color rgb="FFFF0000"/>
        <sz val="10"/>
        <u val="none"/>
      </rPr>
      <t>本期写死TREND</t>
    </r>
  </si>
  <si>
    <r>
      <rPr>
        <b val="false"/>
        <i val="false"/>
        <strike val="false"/>
        <color rgb="FF000000"/>
        <sz val="10"/>
        <u val="none"/>
      </rPr>
      <t>涵盖机台、Chamber、厂务设备、</t>
    </r>
    <r>
      <rPr>
        <b val="true"/>
        <i val="false"/>
        <strike val="false"/>
        <color rgb="FF000000"/>
        <sz val="10"/>
        <u val="none"/>
      </rPr>
      <t>零备件part</t>
    </r>
    <r>
      <rPr>
        <b val="false"/>
        <i val="false"/>
        <strike val="false"/>
        <color rgb="FF000000"/>
        <sz val="10"/>
        <u val="none"/>
      </rPr>
      <t>等</t>
    </r>
  </si>
  <si>
    <r>
      <rPr>
        <b val="false"/>
        <i val="false"/>
        <strike val="false"/>
        <color rgb="FF000000"/>
        <sz val="10"/>
      </rPr>
      <t>涵盖生产原料（如水、化学品、气体、燃料、电能、</t>
    </r>
    <r>
      <rPr>
        <b val="true"/>
        <i val="false"/>
        <strike val="false"/>
        <color rgb="FF000000"/>
        <sz val="10"/>
      </rPr>
      <t>晶圆</t>
    </r>
    <r>
      <rPr>
        <b val="false"/>
        <i val="false"/>
        <strike val="false"/>
        <color rgb="FF000000"/>
        <sz val="10"/>
      </rPr>
      <t>）</t>
    </r>
  </si>
</sst>
</file>

<file path=xl/styles.xml><?xml version="1.0" encoding="utf-8"?>
<styleSheet xmlns="http://schemas.openxmlformats.org/spreadsheetml/2006/main">
  <fonts count="31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</font>
    <font/>
    <font>
      <color rgb="FF000000"/>
    </font>
    <font>
      <b val="true"/>
      <sz val="11"/>
    </font>
    <font>
      <sz val="11"/>
    </font>
    <font>
      <b val="true"/>
      <color rgb="FFFFFFFF"/>
      <sz val="11"/>
    </font>
    <font>
      <strike val="true"/>
      <color rgb="FF000000"/>
    </font>
    <font>
      <strike val="true"/>
    </font>
    <font>
      <sz val="9"/>
    </font>
    <font>
      <strike val="true"/>
      <sz val="9"/>
    </font>
    <font/>
    <font/>
    <font>
      <color rgb="FF000000"/>
      <sz val="11"/>
    </font>
    <font>
      <color rgb="FFFF0000"/>
    </font>
    <font>
      <color rgb="FFFF0000"/>
      <sz val="10"/>
    </font>
    <font>
      <color rgb="FFFF0000"/>
      <sz val="9"/>
    </font>
    <font>
      <sz val="10"/>
    </font>
    <font>
      <color rgb="FF000000"/>
    </font>
    <font>
      <color rgb="FF92D050"/>
    </font>
    <font>
      <strike val="true"/>
      <sz val="11"/>
    </font>
    <font>
      <color rgb="FF657B83"/>
      <sz val="10"/>
    </font>
    <font>
      <name val="微软雅黑"/>
      <sz val="11"/>
    </font>
    <font>
      <b val="true"/>
      <strike val="true"/>
      <color rgb="FFFFFFFF"/>
      <sz val="11"/>
    </font>
    <font>
      <color rgb="FF000000"/>
      <sz val="9"/>
    </font>
    <font>
      <b val="true"/>
      <color rgb="FFFFFFFF"/>
    </font>
    <font>
      <color rgb="FFFF0000"/>
    </font>
    <font/>
    <font/>
  </fonts>
  <fills count="35">
    <fill>
      <patternFill patternType="none"/>
    </fill>
    <fill>
      <patternFill patternType="gray125"/>
    </fill>
    <fill/>
    <fill>
      <patternFill patternType="none"/>
    </fill>
    <fill>
      <patternFill patternType="none"/>
    </fill>
    <fill/>
    <fill>
      <patternFill patternType="solid">
        <fgColor rgb="FFD9E2F3"/>
        <bgColor auto="true"/>
      </patternFill>
    </fill>
    <fill>
      <patternFill patternType="solid">
        <fgColor rgb="FF4472C4"/>
        <bgColor auto="true"/>
      </patternFill>
    </fill>
    <fill>
      <patternFill patternType="solid">
        <fgColor rgb="FFFFFFFF"/>
      </patternFill>
    </fill>
    <fill>
      <patternFill patternType="solid">
        <fgColor rgb="FF8CDDFA"/>
      </patternFill>
    </fill>
    <fill>
      <patternFill patternType="solid">
        <fgColor rgb="FF8CDDFA"/>
      </patternFill>
    </fill>
    <fill/>
    <fill>
      <patternFill patternType="solid">
        <fgColor rgb="FF99DDFF"/>
      </patternFill>
    </fill>
    <fill>
      <patternFill patternType="solid">
        <fgColor rgb="FF99DDFF"/>
      </patternFill>
    </fill>
    <fill>
      <patternFill patternType="none"/>
    </fill>
    <fill>
      <patternFill patternType="solid">
        <fgColor rgb="FF99DDFF"/>
      </patternFill>
    </fill>
    <fill>
      <patternFill patternType="solid">
        <fgColor rgb="FF99DDFF"/>
      </patternFill>
    </fill>
    <fill>
      <patternFill patternType="solid">
        <fgColor rgb="FF8CDDFA"/>
      </patternFill>
    </fill>
    <fill>
      <patternFill patternType="solid">
        <fgColor rgb="FFC7ECFF"/>
      </patternFill>
    </fill>
    <fill>
      <patternFill patternType="solid">
        <fgColor rgb="FFF2F2F2"/>
      </patternFill>
    </fill>
    <fill>
      <patternFill patternType="solid">
        <fgColor rgb="FF00B0F0"/>
      </patternFill>
    </fill>
    <fill>
      <patternFill patternType="solid">
        <fgColor rgb="FFC5CAD3"/>
      </patternFill>
    </fill>
    <fill>
      <patternFill patternType="solid">
        <fgColor rgb="FFC5CAD3"/>
      </patternFill>
    </fill>
    <fill>
      <patternFill patternType="solid">
        <fgColor rgb="FFD9D9D9"/>
        <bgColor auto="true"/>
      </patternFill>
    </fill>
    <fill>
      <patternFill patternType="solid">
        <fgColor rgb="FF2F5597"/>
        <bgColor auto="true"/>
      </patternFill>
    </fill>
    <fill>
      <patternFill patternType="none">
        <fgColor rgb="FFF2F2F2"/>
      </patternFill>
    </fill>
    <fill>
      <patternFill patternType="solid">
        <fgColor rgb="FFF2F2F2"/>
      </patternFill>
    </fill>
    <fill>
      <patternFill patternType="solid">
        <fgColor rgb="FFF2F2F2"/>
        <bgColor auto="true"/>
      </patternFill>
    </fill>
    <fill>
      <patternFill patternType="solid">
        <fgColor rgb="FFF2F2F2"/>
        <bgColor auto="true"/>
      </patternFill>
    </fill>
    <fill>
      <patternFill patternType="none">
        <fgColor rgb="FF8CDDFA"/>
      </patternFill>
    </fill>
    <fill>
      <patternFill patternType="none">
        <fgColor rgb="FFF3F5F7"/>
      </patternFill>
    </fill>
    <fill>
      <patternFill patternType="none">
        <fgColor rgb="FF99DDFF"/>
      </patternFill>
    </fill>
    <fill>
      <patternFill patternType="none">
        <fgColor rgb="FFE5EFFF"/>
      </patternFill>
    </fill>
    <fill>
      <patternFill patternType="solid">
        <fgColor rgb="FFFFFFFF"/>
      </patternFill>
    </fill>
    <fill>
      <patternFill patternType="solid">
        <fgColor rgb="FFC7EC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 diagonalUp="true" diagonalDown="true">
      <left/>
      <right/>
      <top/>
      <bottom/>
      <diagonal/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DDDDDD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>
    <xf numFmtId="0" fontId="0" fillId="0" borderId="0" xfId="0">
      <alignment vertical="center"/>
    </xf>
  </cellStyleXfs>
  <cellXfs count="48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>
      <alignment vertical="center" textRotation="0" indent="0" justifyLastLine="false" shrinkToFit="false"/>
    </xf>
    <xf fontId="4" fillId="0" borderId="2" xfId="0">
      <alignment vertical="center"/>
    </xf>
    <xf fontId="4" fillId="2" borderId="2" xfId="0">
      <alignment vertical="center"/>
    </xf>
    <xf numFmtId="0" fontId="3" fillId="0" borderId="3" xfId="0">
      <alignment vertical="center" textRotation="0" indent="0" justifyLastLine="false" shrinkToFit="false"/>
    </xf>
    <xf numFmtId="0" fontId="0" fillId="3" borderId="4" xfId="0">
      <alignment vertical="center" textRotation="0" indent="0" justifyLastLine="false" shrinkToFit="false"/>
    </xf>
    <xf fontId="0" fillId="4" borderId="4" xfId="0">
      <alignment vertical="center"/>
    </xf>
    <xf numFmtId="0" fontId="0" fillId="4" borderId="4" xfId="0">
      <alignment vertical="center" textRotation="0" indent="0" justifyLastLine="false" shrinkToFit="false"/>
    </xf>
    <xf fontId="0" fillId="3" borderId="4" xfId="0">
      <alignment vertical="center"/>
    </xf>
    <xf numFmtId="0" fontId="0" fillId="4" borderId="0" xfId="0">
      <alignment vertical="center" textRotation="0"/>
    </xf>
    <xf fontId="0" fillId="4" borderId="0" xfId="0">
      <alignment vertical="center"/>
    </xf>
    <xf numFmtId="0" fontId="0" fillId="4" borderId="0" xfId="0">
      <alignment vertical="center"/>
    </xf>
    <xf numFmtId="0" fontId="0" fillId="4" borderId="0" xfId="0">
      <alignment vertical="center" textRotation="0" indent="0" justifyLastLine="false" shrinkToFit="false"/>
    </xf>
    <xf numFmtId="0" fontId="0" fillId="3" borderId="4" xfId="0">
      <alignment vertical="center"/>
    </xf>
    <xf fontId="0" fillId="4" borderId="4" xfId="0">
      <alignment vertical="center"/>
    </xf>
    <xf fontId="0" fillId="5" borderId="4" xfId="0">
      <alignment vertical="center"/>
    </xf>
    <xf numFmtId="0" fontId="0" fillId="0" borderId="0" xfId="0">
      <alignment vertical="center"/>
    </xf>
    <xf numFmtId="0" fontId="0" fillId="2" borderId="0" xfId="0">
      <alignment vertical="center" textRotation="0" indent="0" justifyLastLine="false" shrinkToFit="false"/>
    </xf>
    <xf numFmtId="0" fontId="0" fillId="2" borderId="4" xfId="0">
      <alignment vertical="center" textRotation="0" indent="0" justifyLastLine="false" shrinkToFit="false"/>
    </xf>
    <xf numFmtId="0" fontId="0" fillId="0" borderId="4" xfId="0">
      <alignment vertical="center"/>
    </xf>
    <xf fontId="0" fillId="3" borderId="4" xfId="0">
      <alignment vertical="center"/>
    </xf>
    <xf numFmtId="0" fontId="0" fillId="5" borderId="4" xfId="0">
      <alignment vertical="center" textRotation="0" indent="0" justifyLastLine="false" shrinkToFit="false"/>
    </xf>
    <xf numFmtId="0" fontId="0" fillId="5" borderId="4" xfId="0">
      <alignment vertical="center"/>
    </xf>
    <xf fontId="5" fillId="5" borderId="4" xfId="0">
      <alignment vertical="center"/>
    </xf>
    <xf fontId="5" fillId="4" borderId="4" xfId="0">
      <alignment vertical="center"/>
    </xf>
    <xf numFmtId="0" fontId="4" fillId="5" borderId="4" xfId="0">
      <alignment vertical="center"/>
    </xf>
    <xf fontId="4" fillId="5" borderId="4" xfId="0">
      <alignment vertical="center"/>
    </xf>
    <xf numFmtId="0" fontId="5" fillId="3" borderId="4" xfId="0">
      <alignment vertical="center"/>
    </xf>
    <xf fontId="0" fillId="3" borderId="0" xfId="0">
      <alignment vertical="center"/>
    </xf>
    <xf fontId="5" fillId="3" borderId="4" xfId="0">
      <alignment vertical="center"/>
    </xf>
    <xf numFmtId="0" fontId="5" fillId="0" borderId="4" xfId="0">
      <alignment vertical="center"/>
    </xf>
    <xf fontId="0" fillId="0" borderId="4" xfId="0">
      <alignment vertical="center"/>
    </xf>
    <xf fontId="5" fillId="0" borderId="4" xfId="0">
      <alignment vertical="center"/>
    </xf>
    <xf fontId="4" fillId="0" borderId="4" xfId="0">
      <alignment vertical="center"/>
    </xf>
    <xf fontId="4" fillId="4" borderId="4" xfId="0">
      <alignment vertical="center"/>
    </xf>
    <xf numFmtId="0" fontId="0" fillId="0" borderId="4" xfId="0">
      <alignment vertical="center"/>
    </xf>
    <xf numFmtId="0" fontId="6" fillId="6" borderId="0" xfId="0">
      <alignment vertical="bottom" textRotation="0"/>
    </xf>
    <xf fontId="7" fillId="0" borderId="0" xfId="0">
      <alignment vertical="bottom" textRotation="0"/>
    </xf>
    <xf numFmtId="0" fontId="8" fillId="7" borderId="5" xfId="0">
      <alignment horizontal="center" vertical="center" textRotation="0"/>
    </xf>
    <xf numFmtId="0" fontId="7" fillId="0" borderId="5" xfId="0">
      <alignment vertical="top" textRotation="0" wrapText="true"/>
    </xf>
    <xf fontId="7" fillId="0" borderId="5" xfId="0">
      <alignment vertical="top" textRotation="0" wrapText="true"/>
    </xf>
    <xf numFmtId="0" fontId="0" fillId="0" borderId="1" xfId="0">
      <alignment vertical="center" textRotation="0" indent="0" justifyLastLine="false" shrinkToFit="false"/>
    </xf>
    <xf fontId="0" fillId="0" borderId="1" xfId="0">
      <alignment vertical="center"/>
    </xf>
    <xf fontId="0" fillId="0" borderId="1" xfId="0">
      <alignment vertical="center"/>
    </xf>
    <xf numFmtId="0" fontId="0" fillId="4" borderId="1" xfId="0">
      <alignment vertical="center" textRotation="0" indent="0" justifyLastLine="false" shrinkToFit="false"/>
    </xf>
    <xf fontId="0" fillId="4" borderId="1" xfId="0">
      <alignment vertical="center"/>
    </xf>
    <xf numFmtId="0" fontId="0" fillId="0" borderId="1" xfId="0">
      <alignment vertical="center"/>
    </xf>
    <xf numFmtId="0" fontId="5" fillId="0" borderId="1" xfId="0">
      <alignment vertical="center" textRotation="0" indent="0" justifyLastLine="false" shrinkToFit="false"/>
    </xf>
    <xf numFmtId="0" fontId="0" fillId="0" borderId="1" xfId="0">
      <alignment vertical="center"/>
    </xf>
    <xf numFmtId="0" fontId="5" fillId="4" borderId="1" xfId="0">
      <alignment vertical="center" textRotation="0" indent="0" justifyLastLine="false" shrinkToFit="false"/>
    </xf>
    <xf numFmtId="0" fontId="4" fillId="4" borderId="1" xfId="0">
      <alignment vertical="center" textRotation="0" wrapText="true" indent="0" justifyLastLine="false" shrinkToFit="false"/>
    </xf>
    <xf fontId="5" fillId="4" borderId="1" xfId="0">
      <alignment vertical="center"/>
    </xf>
    <xf numFmtId="0" fontId="5" fillId="0" borderId="1" xfId="0">
      <alignment vertical="center"/>
    </xf>
    <xf fontId="5" fillId="0" borderId="1" xfId="0">
      <alignment vertical="center"/>
    </xf>
    <xf numFmtId="0" fontId="5" fillId="0" borderId="1" xfId="0">
      <alignment vertical="center"/>
    </xf>
    <xf fontId="5" fillId="0" borderId="1" xfId="0">
      <alignment vertical="center" textRotation="0" wrapText="true" indent="0" justifyLastLine="false" shrinkToFit="false"/>
    </xf>
    <xf fontId="0" fillId="0" borderId="1" xfId="0">
      <alignment vertical="center" wrapText="true"/>
    </xf>
    <xf numFmtId="0" fontId="0" fillId="0" borderId="1" xfId="0">
      <alignment vertical="center" textRotation="0" justifyLastLine="false" shrinkToFit="false"/>
    </xf>
    <xf numFmtId="0" fontId="3" fillId="0" borderId="2" xfId="0">
      <alignment vertical="center" textRotation="0" indent="0" justifyLastLine="false" shrinkToFit="false"/>
    </xf>
    <xf fontId="0" fillId="0" borderId="2" xfId="0">
      <alignment vertical="center"/>
    </xf>
    <xf numFmtId="0" fontId="0" fillId="2" borderId="1" xfId="0">
      <alignment vertical="center" textRotation="0" indent="0" justifyLastLine="false" shrinkToFit="false"/>
    </xf>
    <xf fontId="0" fillId="2" borderId="1" xfId="0">
      <alignment vertical="center"/>
    </xf>
    <xf numFmtId="0" fontId="0" fillId="0" borderId="1" xfId="0">
      <alignment vertical="center" textRotation="0" wrapText="true" indent="0" justifyLastLine="false" shrinkToFit="false"/>
    </xf>
    <xf numFmtId="0" fontId="0" fillId="4" borderId="1" xfId="0">
      <alignment vertical="center" textRotation="0" wrapText="true" indent="0" justifyLastLine="false" shrinkToFit="false"/>
    </xf>
    <xf fontId="0" fillId="8" borderId="2" xfId="0">
      <alignment vertical="center"/>
    </xf>
    <xf numFmtId="0" fontId="0" fillId="8" borderId="1" xfId="0">
      <alignment vertical="center" textRotation="0" indent="0" justifyLastLine="false" shrinkToFit="false"/>
    </xf>
    <xf numFmtId="0" fontId="0" fillId="8" borderId="1" xfId="0">
      <alignment vertical="center"/>
    </xf>
    <xf fontId="0" fillId="8" borderId="1" xfId="0">
      <alignment vertical="center"/>
    </xf>
    <xf fontId="0" fillId="8" borderId="0" xfId="0">
      <alignment vertical="center"/>
    </xf>
    <xf fontId="5" fillId="8" borderId="2" xfId="0">
      <alignment vertical="center"/>
    </xf>
    <xf numFmtId="0" fontId="5" fillId="8" borderId="1" xfId="0">
      <alignment vertical="center" textRotation="0" indent="0" justifyLastLine="false" shrinkToFit="false"/>
    </xf>
    <xf fontId="5" fillId="8" borderId="1" xfId="0">
      <alignment vertical="center"/>
    </xf>
    <xf fontId="4" fillId="8" borderId="0" xfId="0">
      <alignment vertical="center"/>
    </xf>
    <xf fontId="5" fillId="0" borderId="2" xfId="0">
      <alignment vertical="center"/>
    </xf>
    <xf fontId="5" fillId="2" borderId="1" xfId="0">
      <alignment vertical="center"/>
    </xf>
    <xf fontId="4" fillId="0" borderId="0" xfId="0">
      <alignment vertical="center"/>
    </xf>
    <xf numFmtId="0" fontId="5" fillId="2" borderId="1" xfId="0">
      <alignment vertical="center" textRotation="0" indent="0" justifyLastLine="false" shrinkToFit="false"/>
    </xf>
    <xf numFmtId="0" fontId="0" fillId="3" borderId="1" xfId="0">
      <alignment vertical="center" textRotation="0" indent="0" justifyLastLine="false" shrinkToFit="false"/>
    </xf>
    <xf numFmtId="0" fontId="4" fillId="4" borderId="1" xfId="0">
      <alignment vertical="center" textRotation="0" indent="0" justifyLastLine="false" shrinkToFit="false"/>
    </xf>
    <xf numFmtId="0" fontId="3" fillId="4" borderId="0" xfId="0">
      <alignment vertical="center" textRotation="0" indent="0" justifyLastLine="false" shrinkToFit="false"/>
    </xf>
    <xf numFmtId="0" fontId="3" fillId="4" borderId="3" xfId="0">
      <alignment vertical="center" textRotation="0" indent="0" justifyLastLine="false" shrinkToFit="false"/>
    </xf>
    <xf fontId="0" fillId="4" borderId="6" xfId="0">
      <alignment vertical="center"/>
    </xf>
    <xf numFmtId="0" fontId="0" fillId="4" borderId="6" xfId="0">
      <alignment vertical="center" textRotation="0" indent="0" justifyLastLine="false" shrinkToFit="false"/>
    </xf>
    <xf fontId="0" fillId="4" borderId="1" xfId="0">
      <alignment vertical="center"/>
    </xf>
    <xf numFmtId="0" fontId="0" fillId="4" borderId="1" xfId="0">
      <alignment vertical="center"/>
    </xf>
    <xf numFmtId="0" fontId="0" fillId="4" borderId="1" xfId="0">
      <alignment vertical="center" textRotation="0"/>
    </xf>
    <xf numFmtId="0" fontId="0" fillId="4" borderId="1" xfId="0">
      <alignment vertical="center"/>
    </xf>
    <xf numFmtId="0" fontId="0" fillId="4" borderId="1" xfId="0">
      <alignment vertical="center" textRotation="0" justifyLastLine="false" shrinkToFit="false"/>
    </xf>
    <xf numFmtId="0" fontId="5" fillId="4" borderId="1" xfId="0">
      <alignment vertical="center"/>
    </xf>
    <xf numFmtId="0" fontId="5" fillId="3" borderId="1" xfId="0">
      <alignment vertical="center" textRotation="0" indent="0" justifyLastLine="false" shrinkToFit="false"/>
    </xf>
    <xf numFmtId="0" fontId="9" fillId="4" borderId="1" xfId="0">
      <alignment vertical="center"/>
    </xf>
    <xf numFmtId="0" fontId="9" fillId="4" borderId="1" xfId="0">
      <alignment vertical="center" textRotation="0" indent="0" justifyLastLine="false" shrinkToFit="false"/>
    </xf>
    <xf fontId="9" fillId="4" borderId="1" xfId="0">
      <alignment vertical="center"/>
    </xf>
    <xf fontId="10" fillId="4" borderId="0" xfId="0">
      <alignment vertical="center"/>
    </xf>
    <xf fontId="10" fillId="3" borderId="0" xfId="0">
      <alignment vertical="center"/>
    </xf>
    <xf numFmtId="0" fontId="9" fillId="3" borderId="1" xfId="0">
      <alignment vertical="center" textRotation="0" indent="0" justifyLastLine="false" shrinkToFit="false"/>
    </xf>
    <xf fontId="10" fillId="4" borderId="1" xfId="0">
      <alignment vertical="center"/>
    </xf>
    <xf numFmtId="0" fontId="10" fillId="4" borderId="1" xfId="0">
      <alignment vertical="center" textRotation="0" indent="0" justifyLastLine="false" shrinkToFit="false"/>
    </xf>
    <xf numFmtId="0" fontId="10" fillId="4" borderId="1" xfId="0">
      <alignment vertical="center" textRotation="0" wrapText="true" indent="0" justifyLastLine="false" shrinkToFit="false"/>
    </xf>
    <xf numFmtId="0" fontId="11" fillId="4" borderId="0" xfId="0">
      <alignment vertical="center"/>
    </xf>
    <xf numFmtId="0" fontId="3" fillId="0" borderId="0" xfId="0">
      <alignment vertical="center" textRotation="0" indent="0" justifyLastLine="false" shrinkToFit="false"/>
    </xf>
    <xf numFmtId="0" fontId="0" fillId="0" borderId="6" xfId="0">
      <alignment vertical="center"/>
    </xf>
    <xf numFmtId="0" fontId="0" fillId="0" borderId="6" xfId="0">
      <alignment vertical="center" textRotation="0" indent="0" justifyLastLine="false" shrinkToFit="false"/>
    </xf>
    <xf fontId="0" fillId="0" borderId="6" xfId="0">
      <alignment vertical="center"/>
    </xf>
    <xf fontId="4" fillId="0" borderId="1" xfId="0">
      <alignment vertical="center"/>
    </xf>
    <xf numFmtId="0" fontId="12" fillId="9" borderId="0" xfId="0">
      <alignment vertical="center"/>
    </xf>
    <xf numFmtId="0" fontId="10" fillId="9" borderId="0" xfId="0">
      <alignment vertical="center"/>
    </xf>
    <xf numFmtId="0" fontId="10" fillId="9" borderId="1" xfId="0">
      <alignment vertical="center" textRotation="0" indent="0" justifyLastLine="false" shrinkToFit="false"/>
    </xf>
    <xf fontId="10" fillId="9" borderId="1" xfId="0">
      <alignment vertical="center"/>
    </xf>
    <xf fontId="10" fillId="10" borderId="0" xfId="0">
      <alignment vertical="center"/>
    </xf>
    <xf fontId="10" fillId="9" borderId="0" xfId="0">
      <alignment vertical="center"/>
    </xf>
    <xf numFmtId="0" fontId="3" fillId="0" borderId="4" xfId="0">
      <alignment vertical="center" textRotation="0"/>
    </xf>
    <xf numFmtId="0" fontId="3" fillId="0" borderId="1" xfId="0">
      <alignment vertical="center" textRotation="0"/>
    </xf>
    <xf fontId="0" fillId="0" borderId="7" xfId="0">
      <alignment vertical="center" textRotation="0"/>
    </xf>
    <xf fontId="0" fillId="0" borderId="0" xfId="0">
      <alignment vertical="center" textRotation="0" justifyLastLine="false" shrinkToFit="false"/>
    </xf>
    <xf fontId="0" fillId="0" borderId="0" xfId="0">
      <alignment vertical="center" textRotation="0"/>
    </xf>
    <xf fontId="0" fillId="0" borderId="4" xfId="0">
      <alignment vertical="center" textRotation="0"/>
    </xf>
    <xf fontId="0" fillId="0" borderId="1" xfId="0">
      <alignment vertical="center" textRotation="0"/>
    </xf>
    <xf fontId="13" fillId="0" borderId="1" xfId="0">
      <alignment vertical="center"/>
    </xf>
    <xf fontId="0" fillId="0" borderId="7" xfId="0">
      <alignment vertical="center"/>
    </xf>
    <xf numFmtId="0" fontId="0" fillId="0" borderId="1" xfId="0">
      <alignment vertical="center" textRotation="0"/>
    </xf>
    <xf numFmtId="0" fontId="4" fillId="0" borderId="1" xfId="0">
      <alignment vertical="center" textRotation="0"/>
    </xf>
    <xf fontId="0" fillId="4" borderId="4" xfId="0">
      <alignment vertical="center" textRotation="0"/>
    </xf>
    <xf fontId="0" fillId="4" borderId="1" xfId="0">
      <alignment vertical="center" textRotation="0"/>
    </xf>
    <xf numFmtId="0" fontId="4" fillId="4" borderId="1" xfId="0">
      <alignment vertical="center" textRotation="0"/>
    </xf>
    <xf fontId="0" fillId="2" borderId="7" xfId="0">
      <alignment vertical="center" textRotation="0"/>
    </xf>
    <xf fontId="0" fillId="2" borderId="1" xfId="0">
      <alignment vertical="center" textRotation="0"/>
    </xf>
    <xf fontId="0" fillId="4" borderId="7" xfId="0">
      <alignment vertical="center" textRotation="0"/>
    </xf>
    <xf fontId="0" fillId="4" borderId="0" xfId="0">
      <alignment vertical="center" textRotation="0" justifyLastLine="false" shrinkToFit="false"/>
    </xf>
    <xf fontId="0" fillId="4" borderId="0" xfId="0">
      <alignment vertical="center" textRotation="0"/>
    </xf>
    <xf fontId="0" fillId="2" borderId="4" xfId="0">
      <alignment vertical="center" textRotation="0"/>
    </xf>
    <xf numFmtId="0" fontId="0" fillId="2" borderId="1" xfId="0">
      <alignment vertical="center" textRotation="0"/>
    </xf>
    <xf numFmtId="0" fontId="4" fillId="2" borderId="1" xfId="0">
      <alignment vertical="center" textRotation="0"/>
    </xf>
    <xf numFmtId="0" fontId="0" fillId="3" borderId="1" xfId="0">
      <alignment vertical="center" textRotation="0"/>
    </xf>
    <xf numFmtId="0" fontId="4" fillId="3" borderId="1" xfId="0">
      <alignment vertical="center" textRotation="0"/>
    </xf>
    <xf fontId="5" fillId="4" borderId="7" xfId="0">
      <alignment vertical="center" textRotation="0"/>
    </xf>
    <xf fontId="0" fillId="5" borderId="4" xfId="0">
      <alignment vertical="center" textRotation="0"/>
    </xf>
    <xf fontId="0" fillId="5" borderId="1" xfId="0">
      <alignment vertical="center" textRotation="0"/>
    </xf>
    <xf fontId="7" fillId="5" borderId="1" xfId="0">
      <alignment vertical="bottom" textRotation="0"/>
    </xf>
    <xf numFmtId="0" fontId="4" fillId="5" borderId="1" xfId="0">
      <alignment vertical="center" textRotation="0"/>
    </xf>
    <xf numFmtId="0" fontId="0" fillId="5" borderId="1" xfId="0">
      <alignment vertical="center" textRotation="0"/>
    </xf>
    <xf fontId="5" fillId="3" borderId="4" xfId="0">
      <alignment vertical="center" textRotation="0"/>
    </xf>
    <xf fontId="5" fillId="3" borderId="1" xfId="0">
      <alignment vertical="center" textRotation="0"/>
    </xf>
    <xf numFmtId="0" fontId="5" fillId="3" borderId="1" xfId="0">
      <alignment vertical="center" textRotation="0"/>
    </xf>
    <xf numFmtId="0" fontId="5" fillId="5" borderId="1" xfId="0">
      <alignment vertical="center" textRotation="0"/>
    </xf>
    <xf fontId="5" fillId="5" borderId="7" xfId="0">
      <alignment vertical="center" textRotation="0"/>
    </xf>
    <xf fontId="5" fillId="5" borderId="1" xfId="0">
      <alignment vertical="center" textRotation="0"/>
    </xf>
    <xf fontId="5" fillId="3" borderId="7" xfId="0">
      <alignment vertical="center" textRotation="0"/>
    </xf>
    <xf fontId="5" fillId="3" borderId="0" xfId="0">
      <alignment vertical="center" textRotation="0" justifyLastLine="false" shrinkToFit="false"/>
    </xf>
    <xf fontId="5" fillId="3" borderId="0" xfId="0">
      <alignment vertical="center" textRotation="0"/>
    </xf>
    <xf fontId="0" fillId="5" borderId="7" xfId="0">
      <alignment vertical="center" textRotation="0"/>
    </xf>
    <xf fontId="0" fillId="11" borderId="0" xfId="0">
      <alignment vertical="center" textRotation="0" justifyLastLine="false" shrinkToFit="false"/>
    </xf>
    <xf fontId="0" fillId="11" borderId="0" xfId="0">
      <alignment vertical="center" textRotation="0"/>
    </xf>
    <xf fontId="4" fillId="5" borderId="4" xfId="0">
      <alignment vertical="center" textRotation="0"/>
    </xf>
    <xf fontId="4" fillId="5" borderId="1" xfId="0">
      <alignment vertical="center" textRotation="0"/>
    </xf>
    <xf fontId="14" fillId="0" borderId="7" xfId="0">
      <alignment vertical="center" textRotation="0"/>
    </xf>
    <xf fontId="14" fillId="0" borderId="1" xfId="0">
      <alignment vertical="center" textRotation="0"/>
    </xf>
    <xf fontId="14" fillId="0" borderId="0" xfId="0">
      <alignment vertical="center" textRotation="0" justifyLastLine="false" shrinkToFit="false"/>
    </xf>
    <xf fontId="14" fillId="0" borderId="0" xfId="0">
      <alignment vertical="center" textRotation="0"/>
    </xf>
    <xf fontId="5" fillId="2" borderId="4" xfId="0">
      <alignment vertical="center" textRotation="0"/>
    </xf>
    <xf numFmtId="0" fontId="5" fillId="2" borderId="1" xfId="0">
      <alignment vertical="center" textRotation="0" wrapText="true"/>
    </xf>
    <xf numFmtId="0" fontId="5" fillId="2" borderId="1" xfId="0">
      <alignment vertical="center" textRotation="0"/>
    </xf>
    <xf fontId="4" fillId="0" borderId="7" xfId="0">
      <alignment vertical="center" textRotation="0"/>
    </xf>
    <xf fontId="4" fillId="0" borderId="1" xfId="0">
      <alignment vertical="center" textRotation="0"/>
    </xf>
    <xf fontId="5" fillId="0" borderId="7" xfId="0">
      <alignment vertical="center" textRotation="0"/>
    </xf>
    <xf fontId="5" fillId="0" borderId="0" xfId="0">
      <alignment vertical="center" textRotation="0" justifyLastLine="false" shrinkToFit="false"/>
    </xf>
    <xf fontId="5" fillId="0" borderId="0" xfId="0">
      <alignment vertical="center" textRotation="0"/>
    </xf>
    <xf fontId="9" fillId="2" borderId="4" xfId="0">
      <alignment vertical="center" textRotation="0"/>
    </xf>
    <xf numFmtId="0" fontId="9" fillId="2" borderId="1" xfId="0">
      <alignment vertical="center" textRotation="0" wrapText="true"/>
    </xf>
    <xf numFmtId="0" fontId="9" fillId="2" borderId="1" xfId="0">
      <alignment vertical="center" textRotation="0"/>
    </xf>
    <xf fontId="9" fillId="0" borderId="7" xfId="0">
      <alignment vertical="center" textRotation="0"/>
    </xf>
    <xf fontId="9" fillId="0" borderId="0" xfId="0">
      <alignment vertical="center" textRotation="0" justifyLastLine="false" shrinkToFit="false"/>
    </xf>
    <xf fontId="9" fillId="0" borderId="0" xfId="0">
      <alignment vertical="center" textRotation="0"/>
    </xf>
    <xf fontId="9" fillId="5" borderId="4" xfId="0">
      <alignment vertical="center" textRotation="0"/>
    </xf>
    <xf fontId="4" fillId="5" borderId="7" xfId="0">
      <alignment vertical="center" textRotation="0"/>
    </xf>
    <xf fontId="4" fillId="2" borderId="1" xfId="0">
      <alignment vertical="center" textRotation="0"/>
    </xf>
    <xf fontId="9" fillId="5" borderId="7" xfId="0">
      <alignment vertical="center" textRotation="0"/>
    </xf>
    <xf fontId="9" fillId="11" borderId="0" xfId="0">
      <alignment vertical="center" textRotation="0" justifyLastLine="false" shrinkToFit="false"/>
    </xf>
    <xf fontId="9" fillId="11" borderId="0" xfId="0">
      <alignment vertical="center" textRotation="0"/>
    </xf>
    <xf fontId="0" fillId="0" borderId="8" xfId="0">
      <alignment vertical="center" textRotation="0"/>
    </xf>
    <xf fontId="0" fillId="4" borderId="8" xfId="0">
      <alignment vertical="center" textRotation="0"/>
    </xf>
    <xf fontId="0" fillId="3" borderId="7" xfId="0">
      <alignment vertical="center"/>
    </xf>
    <xf fontId="0" fillId="4" borderId="7" xfId="0">
      <alignment vertical="center"/>
    </xf>
    <xf fontId="5" fillId="3" borderId="8" xfId="0">
      <alignment vertical="center" textRotation="0"/>
    </xf>
    <xf numFmtId="0" fontId="5" fillId="3" borderId="7" xfId="0">
      <alignment vertical="center" textRotation="0"/>
    </xf>
    <xf numFmtId="0" fontId="5" fillId="4" borderId="1" xfId="0">
      <alignment vertical="center" textRotation="0"/>
    </xf>
    <xf fontId="5" fillId="4" borderId="8" xfId="0">
      <alignment vertical="center" textRotation="0"/>
    </xf>
    <xf numFmtId="0" fontId="5" fillId="4" borderId="7" xfId="0">
      <alignment vertical="center" textRotation="0"/>
    </xf>
    <xf fontId="5" fillId="4" borderId="0" xfId="0">
      <alignment vertical="center" textRotation="0"/>
    </xf>
    <xf numFmtId="0" fontId="15" fillId="3" borderId="7" xfId="0">
      <alignment vertical="center" textRotation="0"/>
    </xf>
    <xf numFmtId="0" fontId="15" fillId="4" borderId="7" xfId="0">
      <alignment vertical="center" textRotation="0"/>
    </xf>
    <xf numFmtId="0" fontId="15" fillId="4" borderId="1" xfId="0">
      <alignment vertical="center" textRotation="0"/>
    </xf>
    <xf numFmtId="0" fontId="3" fillId="4" borderId="1" xfId="0">
      <alignment horizontal="center" vertical="center" textRotation="0" indent="0" justifyLastLine="false" shrinkToFit="false"/>
    </xf>
    <xf fontId="3" fillId="4" borderId="1" xfId="0">
      <alignment horizontal="center" vertical="center" textRotation="0" indent="0" justifyLastLine="false" shrinkToFit="false"/>
    </xf>
    <xf fontId="0" fillId="12" borderId="1" xfId="0">
      <alignment vertical="center"/>
    </xf>
    <xf numFmtId="0" fontId="0" fillId="12" borderId="1" xfId="0">
      <alignment vertical="center" textRotation="0" indent="0" justifyLastLine="false" shrinkToFit="false"/>
    </xf>
    <xf fontId="0" fillId="12" borderId="1" xfId="0">
      <alignment vertical="center"/>
    </xf>
    <xf fontId="0" fillId="13" borderId="0" xfId="0">
      <alignment vertical="center"/>
    </xf>
    <xf numFmtId="0" fontId="0" fillId="4" borderId="3" xfId="0">
      <alignment vertical="center" textRotation="0" indent="0" justifyLastLine="false" shrinkToFit="false"/>
    </xf>
    <xf fontId="0" fillId="4" borderId="3" xfId="0">
      <alignment vertical="center"/>
    </xf>
    <xf numFmtId="0" fontId="0" fillId="4" borderId="9" xfId="0">
      <alignment vertical="center" textRotation="0" indent="0" justifyLastLine="false" shrinkToFit="false"/>
    </xf>
    <xf fontId="0" fillId="4" borderId="9" xfId="0">
      <alignment vertical="center"/>
    </xf>
    <xf fontId="0" fillId="14" borderId="1" xfId="0">
      <alignment vertical="center"/>
    </xf>
    <xf numFmtId="0" fontId="0" fillId="14" borderId="1" xfId="0">
      <alignment vertical="center" textRotation="0" justifyLastLine="false" shrinkToFit="false"/>
    </xf>
    <xf numFmtId="0" fontId="0" fillId="12" borderId="1" xfId="0">
      <alignment vertical="center" textRotation="0" justifyLastLine="false" shrinkToFit="false"/>
    </xf>
    <xf numFmtId="0" fontId="0" fillId="12" borderId="1" xfId="0">
      <alignment vertical="center"/>
    </xf>
    <xf numFmtId="0" fontId="0" fillId="14" borderId="1" xfId="0">
      <alignment vertical="center"/>
    </xf>
    <xf numFmtId="0" fontId="0" fillId="13" borderId="1" xfId="0">
      <alignment vertical="center" textRotation="0" justifyLastLine="false" shrinkToFit="false"/>
    </xf>
    <xf fontId="16" fillId="4" borderId="1" xfId="0">
      <alignment vertical="center"/>
    </xf>
    <xf fontId="16" fillId="3" borderId="1" xfId="0">
      <alignment vertical="center"/>
    </xf>
    <xf numFmtId="0" fontId="16" fillId="5" borderId="1" xfId="0">
      <alignment vertical="center" textRotation="0" indent="0" justifyLastLine="false" shrinkToFit="false"/>
    </xf>
    <xf fontId="16" fillId="5" borderId="1" xfId="0">
      <alignment vertical="center"/>
    </xf>
    <xf numFmtId="0" fontId="16" fillId="3" borderId="1" xfId="0">
      <alignment vertical="center" textRotation="0" justifyLastLine="false" shrinkToFit="false"/>
    </xf>
    <xf numFmtId="0" fontId="16" fillId="3" borderId="1" xfId="0">
      <alignment vertical="center"/>
    </xf>
    <xf fontId="16" fillId="3" borderId="0" xfId="0">
      <alignment vertical="center"/>
    </xf>
    <xf numFmtId="0" fontId="0" fillId="14" borderId="1" xfId="0">
      <alignment vertical="center" textRotation="0"/>
    </xf>
    <xf numFmtId="0" fontId="0" fillId="15" borderId="1" xfId="0">
      <alignment vertical="center" textRotation="0"/>
    </xf>
    <xf numFmtId="0" fontId="0" fillId="15" borderId="1" xfId="0">
      <alignment vertical="center" textRotation="0" justifyLastLine="false" shrinkToFit="false"/>
    </xf>
    <xf fontId="0" fillId="15" borderId="1" xfId="0">
      <alignment vertical="center"/>
    </xf>
    <xf numFmtId="0" fontId="0" fillId="15" borderId="1" xfId="0">
      <alignment vertical="center"/>
    </xf>
    <xf fontId="0" fillId="13" borderId="1" xfId="0">
      <alignment vertical="center"/>
    </xf>
    <xf numFmtId="0" fontId="0" fillId="13" borderId="1" xfId="0">
      <alignment vertical="center" textRotation="0" indent="0" justifyLastLine="false" shrinkToFit="false"/>
    </xf>
    <xf numFmtId="0" fontId="0" fillId="16" borderId="1" xfId="0">
      <alignment vertical="center" textRotation="0"/>
    </xf>
    <xf numFmtId="0" fontId="0" fillId="16" borderId="1" xfId="0">
      <alignment vertical="center" textRotation="0" justifyLastLine="false" shrinkToFit="false"/>
    </xf>
    <xf fontId="0" fillId="16" borderId="1" xfId="0">
      <alignment vertical="center"/>
    </xf>
    <xf numFmtId="0" fontId="0" fillId="16" borderId="1" xfId="0">
      <alignment vertical="center"/>
    </xf>
    <xf numFmtId="0" fontId="0" fillId="14" borderId="3" xfId="0">
      <alignment vertical="center" textRotation="0" justifyLastLine="false" shrinkToFit="false"/>
    </xf>
    <xf numFmtId="0" fontId="0" fillId="16" borderId="3" xfId="0">
      <alignment vertical="center" textRotation="0" justifyLastLine="false" shrinkToFit="false"/>
    </xf>
    <xf fontId="0" fillId="4" borderId="3" xfId="0">
      <alignment vertical="center"/>
    </xf>
    <xf numFmtId="0" fontId="0" fillId="14" borderId="3" xfId="0">
      <alignment vertical="center" textRotation="0"/>
    </xf>
    <xf fontId="0" fillId="14" borderId="3" xfId="0">
      <alignment vertical="center"/>
    </xf>
    <xf numFmtId="0" fontId="0" fillId="14" borderId="1" xfId="0">
      <alignment vertical="center"/>
    </xf>
    <xf fontId="0" fillId="14" borderId="1" xfId="0">
      <alignment vertical="center"/>
    </xf>
    <xf numFmtId="0" fontId="3" fillId="14" borderId="1" xfId="0">
      <alignment vertical="center" textRotation="0" justifyLastLine="false" shrinkToFit="false"/>
    </xf>
    <xf numFmtId="0" fontId="0" fillId="14" borderId="3" xfId="0">
      <alignment vertical="center"/>
    </xf>
    <xf fontId="0" fillId="14" borderId="3" xfId="0">
      <alignment vertical="center"/>
    </xf>
    <xf numFmtId="0" fontId="0" fillId="14" borderId="3" xfId="0">
      <alignment vertical="center"/>
    </xf>
    <xf fontId="10" fillId="14" borderId="1" xfId="0">
      <alignment vertical="center"/>
    </xf>
    <xf fontId="10" fillId="14" borderId="3" xfId="0">
      <alignment justifyLastLine="false" shrinkToFit="false"/>
    </xf>
    <xf numFmtId="0" fontId="10" fillId="14" borderId="3" xfId="0">
      <alignment vertical="center" textRotation="0" justifyLastLine="false" shrinkToFit="false"/>
    </xf>
    <xf numFmtId="0" fontId="10" fillId="14" borderId="1" xfId="0">
      <alignment vertical="center"/>
    </xf>
    <xf numFmtId="0" fontId="10" fillId="14" borderId="1" xfId="0">
      <alignment vertical="center"/>
    </xf>
    <xf numFmtId="0" fontId="0" fillId="14" borderId="3" xfId="0">
      <alignment/>
    </xf>
    <xf fontId="0" fillId="14" borderId="3" xfId="0">
      <alignment justifyLastLine="false" shrinkToFit="false"/>
    </xf>
    <xf fontId="0" fillId="14" borderId="3" xfId="0">
      <alignment/>
    </xf>
    <xf fontId="0" fillId="10" borderId="0" xfId="0">
      <alignment vertical="center"/>
    </xf>
    <xf fontId="0" fillId="17" borderId="0" xfId="0">
      <alignment vertical="center"/>
    </xf>
    <xf numFmtId="0" fontId="16" fillId="13" borderId="0" xfId="0">
      <alignment vertical="center" textRotation="0" justifyLastLine="false" shrinkToFit="false"/>
    </xf>
    <xf fontId="16" fillId="13" borderId="3" xfId="0">
      <alignment vertical="center"/>
    </xf>
    <xf numFmtId="0" fontId="16" fillId="13" borderId="3" xfId="0">
      <alignment vertical="center" textRotation="0" justifyLastLine="false" shrinkToFit="false"/>
    </xf>
    <xf numFmtId="0" fontId="16" fillId="13" borderId="3" xfId="0">
      <alignment vertical="center"/>
    </xf>
    <xf numFmtId="0" fontId="17" fillId="13" borderId="0" xfId="0">
      <alignment vertical="center"/>
    </xf>
    <xf numFmtId="0" fontId="16" fillId="13" borderId="1" xfId="0">
      <alignment vertical="center" textRotation="0" justifyLastLine="false" shrinkToFit="false"/>
    </xf>
    <xf numFmtId="0" fontId="18" fillId="12" borderId="0" xfId="0">
      <alignment vertical="center"/>
    </xf>
    <xf numFmtId="0" fontId="19" fillId="2" borderId="0" xfId="0">
      <alignment vertical="center"/>
    </xf>
    <xf numFmtId="0" fontId="0" fillId="4" borderId="7" xfId="0">
      <alignment vertical="center" textRotation="0" indent="0" justifyLastLine="false" shrinkToFit="false"/>
    </xf>
    <xf numFmtId="0" fontId="4" fillId="4" borderId="7" xfId="0">
      <alignment vertical="center" textRotation="0" indent="0" justifyLastLine="false" shrinkToFit="false"/>
    </xf>
    <xf numFmtId="0" fontId="3" fillId="0" borderId="10" xfId="0">
      <alignment vertical="center" textRotation="0" indent="0" justifyLastLine="false" shrinkToFit="false"/>
    </xf>
    <xf fontId="0" fillId="0" borderId="11" xfId="0">
      <alignment vertical="center"/>
    </xf>
    <xf fontId="0" fillId="0" borderId="12" xfId="0">
      <alignment vertical="center"/>
    </xf>
    <xf numFmtId="0" fontId="0" fillId="0" borderId="13" xfId="0">
      <alignment vertical="center" textRotation="0" indent="0" justifyLastLine="false" shrinkToFit="false"/>
    </xf>
    <xf fontId="0" fillId="0" borderId="3" xfId="0">
      <alignment vertical="center"/>
    </xf>
    <xf numFmtId="0" fontId="0" fillId="0" borderId="3" xfId="0">
      <alignment vertical="center" textRotation="0" indent="0" justifyLastLine="false" shrinkToFit="false"/>
    </xf>
    <xf fontId="0" fillId="0" borderId="14" xfId="0">
      <alignment vertical="center"/>
    </xf>
    <xf numFmtId="0" fontId="0" fillId="0" borderId="0" xfId="0">
      <alignment vertical="center"/>
    </xf>
    <xf fontId="0" fillId="4" borderId="1" xfId="0">
      <alignment justifyLastLine="false" shrinkToFit="false"/>
    </xf>
    <xf fontId="0" fillId="13" borderId="1" xfId="0">
      <alignment vertical="center"/>
    </xf>
    <xf fontId="5" fillId="4" borderId="0" xfId="0">
      <alignment vertical="center"/>
    </xf>
    <xf fontId="20" fillId="4" borderId="15" xfId="0">
      <alignment vertical="center"/>
    </xf>
    <xf fontId="20" fillId="12" borderId="1" xfId="0">
      <alignment vertical="center"/>
    </xf>
    <xf fontId="5" fillId="12" borderId="1" xfId="0">
      <alignment vertical="center"/>
    </xf>
    <xf fontId="5" fillId="13" borderId="0" xfId="0">
      <alignment vertical="center"/>
    </xf>
    <xf fontId="5" fillId="12" borderId="0" xfId="0">
      <alignment vertical="center"/>
    </xf>
    <xf fontId="5" fillId="3" borderId="1" xfId="0">
      <alignment vertical="center"/>
    </xf>
    <xf fontId="5" fillId="3" borderId="0" xfId="0">
      <alignment vertical="center"/>
    </xf>
    <xf fontId="5" fillId="4" borderId="0" xfId="0">
      <alignment vertical="center"/>
    </xf>
    <xf fontId="9" fillId="3" borderId="1" xfId="0">
      <alignment vertical="center"/>
    </xf>
    <xf fontId="5" fillId="3" borderId="16" xfId="0">
      <alignment vertical="center"/>
    </xf>
    <xf numFmtId="0" fontId="4" fillId="3" borderId="1" xfId="0">
      <alignment vertical="center" textRotation="0" indent="0" justifyLastLine="false" shrinkToFit="false"/>
    </xf>
    <xf fontId="9" fillId="3" borderId="0" xfId="0">
      <alignment vertical="center"/>
    </xf>
    <xf fontId="9" fillId="4" borderId="0" xfId="0">
      <alignment vertical="center"/>
    </xf>
    <xf numFmtId="0" fontId="0" fillId="3" borderId="3" xfId="0">
      <alignment vertical="center" textRotation="0" indent="0" justifyLastLine="false" shrinkToFit="false"/>
    </xf>
    <xf fontId="4" fillId="4" borderId="1" xfId="0">
      <alignment vertical="center"/>
    </xf>
    <xf fontId="0" fillId="18" borderId="1" xfId="0">
      <alignment vertical="center"/>
    </xf>
    <xf fontId="0" fillId="18" borderId="0" xfId="0">
      <alignment vertical="center"/>
    </xf>
    <xf numFmtId="0" fontId="7" fillId="4" borderId="1" xfId="0">
      <alignment vertical="center" textRotation="0" indent="0" justifyLastLine="false" shrinkToFit="false"/>
    </xf>
    <xf fontId="0" fillId="9" borderId="1" xfId="0">
      <alignment vertical="center"/>
    </xf>
    <xf fontId="0" fillId="9" borderId="0" xfId="0">
      <alignment vertical="center"/>
    </xf>
    <xf numFmtId="0" fontId="0" fillId="19" borderId="0" xfId="0">
      <alignment vertical="center"/>
    </xf>
    <xf numFmtId="0" fontId="0" fillId="19" borderId="1" xfId="0">
      <alignment vertical="center" textRotation="0" indent="0" justifyLastLine="false" shrinkToFit="false"/>
    </xf>
    <xf fontId="0" fillId="19" borderId="1" xfId="0">
      <alignment vertical="center"/>
    </xf>
    <xf fontId="0" fillId="4" borderId="0" xfId="0">
      <alignment vertical="center"/>
    </xf>
    <xf fontId="0" fillId="4" borderId="0" xfId="0">
      <alignment horizontal="right" vertical="center"/>
    </xf>
    <xf numFmtId="0" fontId="0" fillId="4" borderId="0" xfId="0">
      <alignment horizontal="right" vertical="center"/>
    </xf>
    <xf numFmtId="0" fontId="0" fillId="4" borderId="0" xfId="0">
      <alignment vertical="center" textRotation="0" justifyLastLine="false" shrinkToFit="false"/>
    </xf>
    <xf numFmtId="0" fontId="0" fillId="0" borderId="0" xfId="0">
      <alignment vertical="center" textRotation="0" indent="0" justifyLastLine="false" shrinkToFit="false"/>
    </xf>
    <xf numFmtId="0" fontId="5" fillId="4" borderId="0" xfId="0">
      <alignment vertical="center"/>
    </xf>
    <xf fontId="5" fillId="20" borderId="0" xfId="0">
      <alignment vertical="center"/>
    </xf>
    <xf fontId="0" fillId="20" borderId="0" xfId="0">
      <alignment vertical="center"/>
    </xf>
    <xf numFmtId="0" fontId="0" fillId="20" borderId="0" xfId="0">
      <alignment vertical="center" textRotation="0" indent="0" justifyLastLine="false" shrinkToFit="false"/>
    </xf>
    <xf numFmtId="0" fontId="0" fillId="20" borderId="0" xfId="0">
      <alignment horizontal="right" vertical="center"/>
    </xf>
    <xf numFmtId="0" fontId="5" fillId="20" borderId="0" xfId="0">
      <alignment vertical="center"/>
    </xf>
    <xf fontId="5" fillId="0" borderId="0" xfId="0">
      <alignment vertical="center"/>
    </xf>
    <xf numFmtId="0" fontId="0" fillId="0" borderId="0" xfId="0">
      <alignment horizontal="right" vertical="center"/>
    </xf>
    <xf fontId="0" fillId="0" borderId="0" xfId="0">
      <alignment horizontal="right" vertical="center"/>
    </xf>
    <xf numFmtId="0" fontId="0" fillId="9" borderId="1" xfId="0">
      <alignment vertical="center" textRotation="0"/>
    </xf>
    <xf numFmtId="0" fontId="0" fillId="9" borderId="1" xfId="0">
      <alignment vertical="center" textRotation="0" wrapText="true"/>
    </xf>
    <xf numFmtId="0" fontId="3" fillId="9" borderId="3" xfId="0">
      <alignment vertical="center" textRotation="0"/>
    </xf>
    <xf fontId="0" fillId="14" borderId="1" xfId="0">
      <alignment vertical="center" textRotation="0"/>
    </xf>
    <xf fontId="0" fillId="14" borderId="1" xfId="0">
      <alignment vertical="center" textRotation="0" wrapText="true"/>
    </xf>
    <xf numFmtId="0" fontId="0" fillId="14" borderId="0" xfId="0">
      <alignment vertical="center" textRotation="0"/>
    </xf>
    <xf numFmtId="0" fontId="0" fillId="4" borderId="1" xfId="0">
      <alignment vertical="center" textRotation="0" wrapText="true"/>
    </xf>
    <xf fontId="0" fillId="21" borderId="1" xfId="0">
      <alignment vertical="center" textRotation="0"/>
    </xf>
    <xf numFmtId="0" fontId="0" fillId="21" borderId="1" xfId="0">
      <alignment vertical="center" textRotation="0"/>
    </xf>
    <xf numFmtId="0" fontId="0" fillId="21" borderId="1" xfId="0">
      <alignment vertical="center" textRotation="0" wrapText="true"/>
    </xf>
    <xf fontId="0" fillId="22" borderId="0" xfId="0">
      <alignment vertical="center"/>
    </xf>
    <xf numFmtId="0" fontId="0" fillId="3" borderId="1" xfId="0">
      <alignment vertical="center" textRotation="0" wrapText="true"/>
    </xf>
    <xf numFmtId="0" fontId="0" fillId="14" borderId="1" xfId="0">
      <alignment vertical="center" textRotation="0" wrapText="true"/>
    </xf>
    <xf fontId="0" fillId="4" borderId="1" xfId="0">
      <alignment vertical="center" textRotation="0" wrapText="true"/>
    </xf>
    <xf numFmtId="0" fontId="19" fillId="4" borderId="1" xfId="0">
      <alignment vertical="center" textRotation="0" wrapText="true" indent="0" justifyLastLine="false" shrinkToFit="false"/>
    </xf>
    <xf fontId="0" fillId="3" borderId="1" xfId="0">
      <alignment vertical="center"/>
    </xf>
    <xf numFmtId="0" fontId="4" fillId="0" borderId="1" xfId="0">
      <alignment vertical="center" textRotation="0" indent="0" justifyLastLine="false" shrinkToFit="false"/>
    </xf>
    <xf fontId="21" fillId="0" borderId="1" xfId="0">
      <alignment vertical="center"/>
    </xf>
    <xf numFmtId="0" fontId="4" fillId="0" borderId="1" xfId="0">
      <alignment vertical="center"/>
    </xf>
    <xf numFmtId="0" fontId="7" fillId="12" borderId="5" xfId="0">
      <alignment vertical="top" textRotation="0" wrapText="true"/>
    </xf>
    <xf fontId="7" fillId="12" borderId="5" xfId="0">
      <alignment vertical="top" textRotation="0" wrapText="true"/>
    </xf>
    <xf numFmtId="0" fontId="22" fillId="0" borderId="5" xfId="0">
      <alignment vertical="top" textRotation="0" wrapText="true"/>
    </xf>
    <xf fontId="22" fillId="0" borderId="5" xfId="0">
      <alignment vertical="top" textRotation="0" wrapText="true"/>
    </xf>
    <xf numFmtId="0" fontId="7" fillId="16" borderId="5" xfId="0">
      <alignment vertical="top" textRotation="0" wrapText="true"/>
    </xf>
    <xf numFmtId="0" fontId="7" fillId="13" borderId="5" xfId="0">
      <alignment vertical="top" textRotation="0" wrapText="true"/>
    </xf>
    <xf numFmtId="0" fontId="4" fillId="13" borderId="1" xfId="0">
      <alignment vertical="center" textRotation="0" justifyLastLine="false" shrinkToFit="false"/>
    </xf>
    <xf fontId="7" fillId="13" borderId="5" xfId="0">
      <alignment vertical="top" textRotation="0" wrapText="true"/>
    </xf>
    <xf numFmtId="0" fontId="7" fillId="4" borderId="5" xfId="0">
      <alignment vertical="top" textRotation="0" wrapText="true"/>
    </xf>
    <xf fontId="7" fillId="4" borderId="5" xfId="0">
      <alignment vertical="top" textRotation="0" wrapText="true"/>
    </xf>
    <xf numFmtId="0" fontId="7" fillId="23" borderId="5" xfId="0">
      <alignment vertical="top" textRotation="0" wrapText="true"/>
    </xf>
    <xf fontId="7" fillId="23" borderId="5" xfId="0">
      <alignment vertical="top" textRotation="0" wrapText="true"/>
    </xf>
    <xf numFmtId="0" fontId="16" fillId="9" borderId="0" xfId="0">
      <alignment vertical="center" textRotation="0" justifyLastLine="false" shrinkToFit="false"/>
    </xf>
    <xf numFmtId="0" fontId="17" fillId="0" borderId="0" xfId="0">
      <alignment vertical="center"/>
    </xf>
    <xf numFmtId="0" fontId="16" fillId="4" borderId="1" xfId="0">
      <alignment vertical="center" textRotation="0" justifyLastLine="false" shrinkToFit="false"/>
    </xf>
    <xf numFmtId="0" fontId="18" fillId="0" borderId="0" xfId="0">
      <alignment vertical="center"/>
    </xf>
    <xf fontId="16" fillId="4" borderId="0" xfId="0">
      <alignment vertical="center"/>
    </xf>
    <xf numFmtId="0" fontId="19" fillId="0" borderId="0" xfId="0">
      <alignment vertical="center"/>
    </xf>
    <xf numFmtId="0" fontId="0" fillId="0" borderId="2" xfId="0">
      <alignment vertical="center"/>
    </xf>
    <xf numFmtId="0" fontId="0" fillId="5" borderId="1" xfId="0">
      <alignment vertical="center" textRotation="0" indent="0" justifyLastLine="false" shrinkToFit="false"/>
    </xf>
    <xf numFmtId="0" fontId="0" fillId="5" borderId="1" xfId="0">
      <alignment vertical="center"/>
    </xf>
    <xf numFmtId="0" fontId="0" fillId="2" borderId="1" xfId="0">
      <alignment vertical="center"/>
    </xf>
    <xf numFmtId="0" fontId="0" fillId="2" borderId="1" xfId="0">
      <alignment vertical="center"/>
    </xf>
    <xf numFmtId="0" fontId="5" fillId="2" borderId="1" xfId="0">
      <alignment vertical="center"/>
    </xf>
    <xf numFmtId="0" fontId="5" fillId="2" borderId="1" xfId="0">
      <alignment vertical="center" textRotation="0" wrapText="true" indent="0" justifyLastLine="false" shrinkToFit="false"/>
    </xf>
    <xf numFmtId="0" fontId="4" fillId="0" borderId="1" xfId="0">
      <alignment vertical="center" textRotation="0" wrapText="true" indent="0" justifyLastLine="false" shrinkToFit="false"/>
    </xf>
    <xf numFmtId="0" fontId="4" fillId="0" borderId="1" xfId="0">
      <alignment vertical="center" textRotation="0" wrapText="true" justifyLastLine="false" shrinkToFit="false"/>
    </xf>
    <xf numFmtId="0" fontId="0" fillId="2" borderId="1" xfId="0">
      <alignment vertical="center" textRotation="0" wrapText="true" indent="0" justifyLastLine="false" shrinkToFit="false"/>
    </xf>
    <xf numFmtId="0" fontId="4" fillId="2" borderId="1" xfId="0">
      <alignment vertical="center" textRotation="0" wrapText="true" indent="0" justifyLastLine="false" shrinkToFit="false"/>
    </xf>
    <xf numFmtId="0" fontId="0" fillId="0" borderId="3" xfId="0">
      <alignment vertical="center" textRotation="0" wrapText="true" indent="0" justifyLastLine="false" shrinkToFit="false"/>
    </xf>
    <xf numFmtId="0" fontId="23" fillId="0" borderId="0" xfId="0">
      <alignment vertical="center"/>
    </xf>
    <xf fontId="0" fillId="2" borderId="17" xfId="0">
      <alignment vertical="center"/>
    </xf>
    <xf fontId="0" fillId="2" borderId="18" xfId="0">
      <alignment vertical="center"/>
    </xf>
    <xf numFmtId="0" fontId="0" fillId="2" borderId="9" xfId="0">
      <alignment vertical="center" textRotation="0" indent="0" justifyLastLine="false" shrinkToFit="false"/>
    </xf>
    <xf fontId="0" fillId="4" borderId="2" xfId="0">
      <alignment vertical="center"/>
    </xf>
    <xf numFmtId="0" fontId="0" fillId="4" borderId="10" xfId="0">
      <alignment vertical="center" textRotation="0" indent="0" justifyLastLine="false" shrinkToFit="false"/>
    </xf>
    <xf numFmtId="0" fontId="0" fillId="5" borderId="1" xfId="0">
      <alignment vertical="center" textRotation="0" wrapText="true" indent="0" justifyLastLine="false" shrinkToFit="false"/>
    </xf>
    <xf fontId="5" fillId="2" borderId="6" xfId="0">
      <alignment vertical="center"/>
    </xf>
    <xf numFmtId="0" fontId="5" fillId="4" borderId="6" xfId="0">
      <alignment vertical="center" textRotation="0" indent="0" justifyLastLine="false" shrinkToFit="false"/>
    </xf>
    <xf fontId="0" fillId="4" borderId="19" xfId="0">
      <alignment vertical="center"/>
    </xf>
    <xf numFmtId="0" fontId="0" fillId="4" borderId="1" xfId="0">
      <alignment horizontal="fill" vertical="center" textRotation="0" indent="0" justifyLastLine="false" shrinkToFit="false"/>
    </xf>
    <xf fontId="4" fillId="0" borderId="1" xfId="0">
      <alignment vertical="center" wrapText="true"/>
    </xf>
    <xf fontId="4" fillId="5" borderId="1" xfId="0">
      <alignment vertical="center"/>
    </xf>
    <xf fontId="4" fillId="5" borderId="1" xfId="0">
      <alignment vertical="center" wrapText="true"/>
    </xf>
    <xf numFmtId="0" fontId="24" fillId="0" borderId="1" xfId="0">
      <alignment vertical="center" textRotation="0" indent="0" justifyLastLine="false" shrinkToFit="false"/>
    </xf>
    <xf fontId="4" fillId="2" borderId="1" xfId="0">
      <alignment vertical="center"/>
    </xf>
    <xf fontId="4" fillId="2" borderId="1" xfId="0">
      <alignment vertical="center" wrapText="true"/>
    </xf>
    <xf numFmtId="0" fontId="24" fillId="0" borderId="3" xfId="0">
      <alignment vertical="center" textRotation="0" indent="0" justifyLastLine="false" shrinkToFit="false"/>
    </xf>
    <xf fontId="0" fillId="0" borderId="9" xfId="0">
      <alignment vertical="center"/>
    </xf>
    <xf fontId="10" fillId="0" borderId="1" xfId="0">
      <alignment vertical="center"/>
    </xf>
    <xf fontId="10" fillId="0" borderId="9" xfId="0">
      <alignment vertical="center"/>
    </xf>
    <xf numFmtId="0" fontId="4" fillId="0" borderId="1" xfId="0">
      <alignment vertical="center"/>
    </xf>
    <xf fontId="4" fillId="0" borderId="9" xfId="0">
      <alignment vertical="center"/>
    </xf>
    <xf numFmtId="0" fontId="4" fillId="0" borderId="20" xfId="0">
      <alignment vertical="center" textRotation="0" indent="0" justifyLastLine="false" shrinkToFit="false"/>
    </xf>
    <xf fontId="22" fillId="0" borderId="0" xfId="0">
      <alignment vertical="bottom" textRotation="0"/>
    </xf>
    <xf numFmtId="0" fontId="25" fillId="7" borderId="5" xfId="0">
      <alignment horizontal="center" vertical="center" textRotation="0"/>
    </xf>
    <xf fontId="0" fillId="0" borderId="10" xfId="0">
      <alignment vertical="center"/>
    </xf>
    <xf fontId="0" fillId="0" borderId="21" xfId="0">
      <alignment vertical="top"/>
    </xf>
    <xf fontId="0" fillId="0" borderId="10" xfId="0">
      <alignment vertical="center" wrapText="true"/>
    </xf>
    <xf numFmtId="0" fontId="0" fillId="0" borderId="10" xfId="0">
      <alignment vertical="center"/>
    </xf>
    <xf numFmtId="0" fontId="0" fillId="0" borderId="22" xfId="0">
      <alignment vertical="center"/>
    </xf>
    <xf numFmtId="0" fontId="0" fillId="3" borderId="1" xfId="0">
      <alignment vertical="center"/>
    </xf>
    <xf fontId="0" fillId="5" borderId="1" xfId="0">
      <alignment vertical="center"/>
    </xf>
    <xf numFmtId="0" fontId="4" fillId="5" borderId="1" xfId="0">
      <alignment vertical="center" textRotation="0" wrapText="true" indent="0" justifyLastLine="false" shrinkToFit="false"/>
    </xf>
    <xf fontId="0" fillId="5" borderId="9" xfId="0">
      <alignment vertical="center"/>
    </xf>
    <xf fontId="0" fillId="2" borderId="9" xfId="0">
      <alignment vertical="center"/>
    </xf>
    <xf numFmtId="0" fontId="0" fillId="3" borderId="3" xfId="0">
      <alignment vertical="center"/>
    </xf>
    <xf numFmtId="0" fontId="0" fillId="5" borderId="3" xfId="0">
      <alignment vertical="center" textRotation="0" wrapText="true" indent="0" justifyLastLine="false" shrinkToFit="false"/>
    </xf>
    <xf fontId="0" fillId="5" borderId="3" xfId="0">
      <alignment vertical="center"/>
    </xf>
    <xf numFmtId="0" fontId="0" fillId="5" borderId="3" xfId="0">
      <alignment vertical="center" textRotation="0" indent="0" justifyLastLine="false" shrinkToFit="false"/>
    </xf>
    <xf fontId="0" fillId="3" borderId="3" xfId="0">
      <alignment vertical="center"/>
    </xf>
    <xf fontId="0" fillId="4" borderId="0" xfId="0">
      <alignment horizontal="left" vertical="center"/>
    </xf>
    <xf numFmtId="0" fontId="0" fillId="9" borderId="1" xfId="0">
      <alignment vertical="center" textRotation="0" indent="0" justifyLastLine="false" shrinkToFit="false"/>
    </xf>
    <xf numFmtId="0" fontId="4" fillId="9" borderId="1" xfId="0">
      <alignment vertical="center" textRotation="0" indent="0" justifyLastLine="false" shrinkToFit="false"/>
    </xf>
    <xf fontId="0" fillId="9" borderId="0" xfId="0">
      <alignment horizontal="left" vertical="center"/>
    </xf>
    <xf fontId="16" fillId="3" borderId="1" xfId="0">
      <alignment vertical="center"/>
    </xf>
    <xf numFmtId="0" fontId="26" fillId="4" borderId="1" xfId="0">
      <alignment vertical="center"/>
    </xf>
    <xf fontId="5" fillId="4" borderId="20" xfId="0">
      <alignment vertical="center"/>
    </xf>
    <xf numFmtId="0" fontId="16" fillId="12" borderId="1" xfId="0">
      <alignment vertical="center" textRotation="0" indent="0" justifyLastLine="false" shrinkToFit="false"/>
    </xf>
    <xf numFmtId="0" fontId="5" fillId="12" borderId="1" xfId="0">
      <alignment vertical="center" textRotation="0" indent="0" justifyLastLine="false" shrinkToFit="false"/>
    </xf>
    <xf fontId="16" fillId="13" borderId="0" xfId="0">
      <alignment vertical="center"/>
    </xf>
    <xf fontId="16" fillId="12" borderId="20" xfId="0">
      <alignment vertical="center"/>
    </xf>
    <xf numFmtId="0" fontId="4" fillId="12" borderId="1" xfId="0">
      <alignment vertical="center" textRotation="0" indent="0" justifyLastLine="false" shrinkToFit="false"/>
    </xf>
    <xf fontId="5" fillId="12" borderId="20" xfId="0">
      <alignment vertical="center"/>
    </xf>
    <xf fontId="5" fillId="12" borderId="0" xfId="0">
      <alignment vertical="center"/>
    </xf>
    <xf numFmtId="0" fontId="0" fillId="4" borderId="1" xfId="0">
      <alignment vertical="center" justifyLastLine="false" shrinkToFit="false"/>
    </xf>
    <xf numFmtId="0" fontId="0" fillId="4" borderId="3" xfId="0">
      <alignment vertical="center" textRotation="0" justifyLastLine="false" shrinkToFit="false"/>
    </xf>
    <xf numFmtId="0" fontId="4" fillId="4" borderId="3" xfId="0">
      <alignment vertical="center" textRotation="0" indent="0" justifyLastLine="false" shrinkToFit="false"/>
    </xf>
    <xf numFmtId="0" fontId="0" fillId="4" borderId="2" xfId="0">
      <alignment vertical="center" textRotation="0" indent="0" justifyLastLine="false" shrinkToFit="false"/>
    </xf>
    <xf numFmtId="0" fontId="0" fillId="3" borderId="1" xfId="0">
      <alignment vertical="center"/>
    </xf>
    <xf numFmtId="0" fontId="0" fillId="3" borderId="0" xfId="0">
      <alignment vertical="center"/>
    </xf>
    <xf numFmtId="0" fontId="3" fillId="6" borderId="23" xfId="0">
      <alignment horizontal="center" vertical="center" textRotation="0" wrapText="true"/>
    </xf>
    <xf fontId="0" fillId="0" borderId="23" xfId="0">
      <alignment vertical="top" textRotation="0" wrapText="true"/>
    </xf>
    <xf numFmtId="0" fontId="0" fillId="0" borderId="23" xfId="0">
      <alignment vertical="top" textRotation="0" wrapText="true"/>
    </xf>
    <xf numFmtId="0" fontId="19" fillId="0" borderId="23" xfId="0">
      <alignment vertical="top" textRotation="0" wrapText="true"/>
    </xf>
    <xf numFmtId="0" fontId="27" fillId="24" borderId="23" xfId="0">
      <alignment horizontal="center" vertical="center" textRotation="0" wrapText="true"/>
    </xf>
    <xf fontId="28" fillId="0" borderId="0" xfId="0">
      <alignment vertical="center"/>
    </xf>
    <xf fontId="0" fillId="2" borderId="24" xfId="0">
      <alignment vertical="top" textRotation="0" wrapText="true"/>
    </xf>
    <xf numFmtId="0" fontId="0" fillId="2" borderId="24" xfId="0">
      <alignment vertical="top" textRotation="0" wrapText="true"/>
    </xf>
    <xf numFmtId="0" fontId="0" fillId="2" borderId="23" xfId="0">
      <alignment vertical="top" textRotation="0" wrapText="true"/>
    </xf>
    <xf fontId="0" fillId="2" borderId="23" xfId="0">
      <alignment vertical="top" textRotation="0" wrapText="true"/>
    </xf>
    <xf numFmtId="0" fontId="0" fillId="0" borderId="23" xfId="0">
      <alignment horizontal="center" vertical="top" textRotation="0"/>
    </xf>
    <xf numFmtId="0" fontId="16" fillId="0" borderId="0" xfId="0">
      <alignment vertical="center" textRotation="0"/>
    </xf>
    <xf numFmtId="0" fontId="0" fillId="0" borderId="0" xfId="0">
      <alignment vertical="center" textRotation="0"/>
    </xf>
    <xf fontId="0" fillId="0" borderId="23" xfId="0">
      <alignment horizontal="center" vertical="top" textRotation="0"/>
    </xf>
    <xf numFmtId="0" fontId="29" fillId="2" borderId="23" xfId="0">
      <alignment vertical="top" textRotation="0" wrapText="true"/>
    </xf>
    <xf numFmtId="0" fontId="4" fillId="5" borderId="23" xfId="0">
      <alignment vertical="top" textRotation="0" wrapText="true"/>
    </xf>
    <xf numFmtId="0" fontId="0" fillId="5" borderId="23" xfId="0">
      <alignment vertical="top" textRotation="0" wrapText="true"/>
    </xf>
    <xf fontId="0" fillId="5" borderId="23" xfId="0">
      <alignment vertical="top" textRotation="0" wrapText="true"/>
    </xf>
    <xf fontId="0" fillId="3" borderId="23" xfId="0">
      <alignment vertical="top" textRotation="0" wrapText="true"/>
    </xf>
    <xf numFmtId="0" fontId="0" fillId="3" borderId="23" xfId="0">
      <alignment vertical="top" textRotation="0" wrapText="true"/>
    </xf>
    <xf numFmtId="0" fontId="0" fillId="4" borderId="23" xfId="0">
      <alignment vertical="top" textRotation="0" wrapText="true"/>
    </xf>
    <xf numFmtId="0" fontId="19" fillId="3" borderId="23" xfId="0">
      <alignment vertical="top" textRotation="0" wrapText="true"/>
    </xf>
    <xf numFmtId="0" fontId="0" fillId="3" borderId="23" xfId="0">
      <alignment horizontal="center" vertical="top" textRotation="0"/>
    </xf>
    <xf fontId="16" fillId="25" borderId="0" xfId="0">
      <alignment vertical="center"/>
    </xf>
    <xf fontId="0" fillId="19" borderId="23" xfId="0">
      <alignment vertical="top" textRotation="0" wrapText="true"/>
    </xf>
    <xf numFmtId="0" fontId="0" fillId="19" borderId="23" xfId="0">
      <alignment vertical="top" textRotation="0" wrapText="true"/>
    </xf>
    <xf numFmtId="0" fontId="19" fillId="19" borderId="23" xfId="0">
      <alignment vertical="top" textRotation="0" wrapText="true"/>
    </xf>
    <xf numFmtId="0" fontId="0" fillId="19" borderId="23" xfId="0">
      <alignment horizontal="center" vertical="top" textRotation="0"/>
    </xf>
    <xf fontId="16" fillId="26" borderId="0" xfId="0">
      <alignment vertical="center"/>
    </xf>
    <xf fontId="7" fillId="19" borderId="0" xfId="0">
      <alignment vertical="bottom" textRotation="0"/>
    </xf>
    <xf fontId="0" fillId="19" borderId="23" xfId="0">
      <alignment horizontal="center" vertical="top" textRotation="0"/>
    </xf>
    <xf fontId="5" fillId="26" borderId="23" xfId="0">
      <alignment vertical="top" textRotation="0" wrapText="true"/>
    </xf>
    <xf numFmtId="0" fontId="5" fillId="27" borderId="23" xfId="0">
      <alignment vertical="top" textRotation="0" wrapText="true"/>
    </xf>
    <xf fontId="5" fillId="27" borderId="23" xfId="0">
      <alignment vertical="top" textRotation="0" wrapText="true"/>
    </xf>
    <xf fontId="5" fillId="27" borderId="23" xfId="0">
      <alignment horizontal="center" vertical="top" textRotation="0"/>
    </xf>
    <xf numFmtId="0" fontId="5" fillId="27" borderId="23" xfId="0">
      <alignment horizontal="center" vertical="top" textRotation="0"/>
    </xf>
    <xf fontId="5" fillId="26" borderId="0" xfId="0">
      <alignment vertical="center"/>
    </xf>
    <xf fontId="5" fillId="19" borderId="23" xfId="0">
      <alignment vertical="top" textRotation="0" wrapText="true"/>
    </xf>
    <xf numFmtId="0" fontId="5" fillId="28" borderId="23" xfId="0">
      <alignment vertical="top" textRotation="0" wrapText="true"/>
    </xf>
    <xf fontId="5" fillId="28" borderId="23" xfId="0">
      <alignment vertical="top" textRotation="0" wrapText="true"/>
    </xf>
    <xf fontId="5" fillId="28" borderId="23" xfId="0">
      <alignment horizontal="center" vertical="top" textRotation="0"/>
    </xf>
    <xf numFmtId="0" fontId="5" fillId="28" borderId="23" xfId="0">
      <alignment horizontal="center" vertical="top" textRotation="0"/>
    </xf>
    <xf fontId="0" fillId="19" borderId="0" xfId="0">
      <alignment vertical="top" textRotation="0" wrapText="true"/>
    </xf>
    <xf fontId="16" fillId="26" borderId="0" xfId="0">
      <alignment vertical="center" wrapText="true"/>
    </xf>
    <xf numFmtId="0" fontId="16" fillId="19" borderId="23" xfId="0">
      <alignment vertical="top" textRotation="0" wrapText="true"/>
    </xf>
    <xf fontId="30" fillId="0" borderId="0" xfId="0">
      <alignment vertical="center" textRotation="0" indent="0" justifyLastLine="false" shrinkToFit="false"/>
    </xf>
    <xf fontId="0" fillId="0" borderId="0" xfId="0">
      <alignment vertical="center" textRotation="0" indent="0" justifyLastLine="false" shrinkToFit="false"/>
    </xf>
    <xf numFmtId="0" fontId="0" fillId="0" borderId="0" xfId="0">
      <alignment vertical="center" textRotation="0" justifyLastLine="false" shrinkToFit="false"/>
    </xf>
    <xf fontId="0" fillId="29" borderId="0" xfId="0">
      <alignment vertical="center"/>
    </xf>
    <xf fontId="5" fillId="30" borderId="0" xfId="0">
      <alignment vertical="center"/>
    </xf>
    <xf fontId="16" fillId="30" borderId="0" xfId="0">
      <alignment vertical="center"/>
    </xf>
    <xf fontId="5" fillId="31" borderId="0" xfId="0">
      <alignment vertical="center"/>
    </xf>
    <xf fontId="0" fillId="12" borderId="0" xfId="0">
      <alignment vertical="center"/>
    </xf>
    <xf fontId="0" fillId="31" borderId="0" xfId="0">
      <alignment vertical="center"/>
    </xf>
    <xf fontId="0" fillId="21" borderId="0" xfId="0">
      <alignment vertical="center"/>
    </xf>
    <xf fontId="9" fillId="30" borderId="0" xfId="0">
      <alignment vertical="center"/>
    </xf>
    <xf fontId="10" fillId="0" borderId="0" xfId="0">
      <alignment vertical="center"/>
    </xf>
    <xf fontId="0" fillId="32" borderId="0" xfId="0">
      <alignment vertical="center"/>
    </xf>
    <xf fontId="9" fillId="0" borderId="0" xfId="0">
      <alignment vertical="center"/>
    </xf>
    <xf fontId="9" fillId="22" borderId="0" xfId="0">
      <alignment vertical="center"/>
    </xf>
    <xf fontId="5" fillId="32" borderId="0" xfId="0">
      <alignment vertical="center"/>
    </xf>
    <xf fontId="16" fillId="0" borderId="0" xfId="0">
      <alignment vertical="center"/>
    </xf>
    <xf fontId="0" fillId="25" borderId="0" xfId="0">
      <alignment vertical="center"/>
    </xf>
    <xf fontId="0" fillId="26" borderId="0" xfId="0">
      <alignment vertical="center"/>
    </xf>
    <xf fontId="0" fillId="19" borderId="0" xfId="0">
      <alignment vertical="center"/>
    </xf>
    <xf fontId="0" fillId="0" borderId="0" xfId="0">
      <alignment vertical="center" wrapText="true"/>
    </xf>
    <xf fontId="0" fillId="33" borderId="0" xfId="0">
      <alignment vertical="center"/>
    </xf>
    <xf fontId="0" fillId="34" borderId="0" xfId="0">
      <alignment vertical="center"/>
    </xf>
  </cellXfs>
  <dxfs count="1">
    <dxf>
      <font>
        <color rgb="FFDE322C"/>
      </font>
      <fill>
        <patternFill patternType="solid">
          <fgColor rgb="FFFFE9E8"/>
          <bgColor rgb="FFFFE9E8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26" Type="http://schemas.openxmlformats.org/officeDocument/2006/relationships/worksheet" Target="worksheets/sheet24.xml" /><Relationship Id="rId5" Type="http://schemas.openxmlformats.org/officeDocument/2006/relationships/worksheet" Target="worksheets/sheet3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13" Type="http://schemas.openxmlformats.org/officeDocument/2006/relationships/worksheet" Target="worksheets/sheet11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29" Type="http://schemas.openxmlformats.org/officeDocument/2006/relationships/worksheet" Target="worksheets/sheet27.xml" /><Relationship Id="rId22" Type="http://schemas.openxmlformats.org/officeDocument/2006/relationships/worksheet" Target="worksheets/sheet20.xml" /><Relationship Id="rId10" Type="http://schemas.openxmlformats.org/officeDocument/2006/relationships/worksheet" Target="worksheets/sheet8.xml" /><Relationship Id="rId0" Type="http://schemas.openxmlformats.org/officeDocument/2006/relationships/sharedStrings" Target="sharedStrings.xml" /><Relationship Id="rId23" Type="http://schemas.openxmlformats.org/officeDocument/2006/relationships/worksheet" Target="worksheets/sheet21.xml" /><Relationship Id="rId1" Type="http://schemas.openxmlformats.org/officeDocument/2006/relationships/theme" Target="theme/theme1.xml" /><Relationship Id="rId9" Type="http://schemas.openxmlformats.org/officeDocument/2006/relationships/worksheet" Target="worksheets/sheet7.xml" /><Relationship Id="rId14" Type="http://schemas.openxmlformats.org/officeDocument/2006/relationships/worksheet" Target="worksheets/sheet12.xml" /><Relationship Id="rId17" Type="http://schemas.openxmlformats.org/officeDocument/2006/relationships/worksheet" Target="worksheets/sheet15.xml" /><Relationship Id="rId3" Type="http://schemas.openxmlformats.org/officeDocument/2006/relationships/worksheet" Target="worksheets/sheet1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7" Type="http://schemas.openxmlformats.org/officeDocument/2006/relationships/worksheet" Target="worksheets/sheet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27" Type="http://schemas.openxmlformats.org/officeDocument/2006/relationships/worksheet" Target="worksheets/sheet25.xml" /><Relationship Id="rId20" Type="http://schemas.openxmlformats.org/officeDocument/2006/relationships/worksheet" Target="worksheets/sheet18.xml" /><Relationship Id="rId28" Type="http://schemas.openxmlformats.org/officeDocument/2006/relationships/worksheet" Target="worksheets/sheet26.xml" /><Relationship Id="rId21" Type="http://schemas.openxmlformats.org/officeDocument/2006/relationships/worksheet" Target="worksheets/sheet19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主题域">
    <tabColor/>
  </sheetPr>
  <dimension ref="C8"/>
  <sheetViews>
    <sheetView showGridLines="true" workbookViewId="0"/>
  </sheetViews>
  <sheetFormatPr baseColWidth="13" defaultRowHeight="18" customHeight="true"/>
  <cols>
    <col min="3" max="3" width="67.7109" customWidth="true"/>
  </cols>
  <sheetData>
    <row r="1" spans="1:3">
      <c r="A1" s="103" t="s">
        <v>3210</v>
      </c>
      <c r="B1" s="103" t="s">
        <v>3211</v>
      </c>
      <c r="C1" s="103" t="s">
        <v>3212</v>
      </c>
    </row>
    <row r="2" spans="1:3">
      <c r="A2" s="298" t="s">
        <v>132</v>
      </c>
      <c r="B2" s="298" t="s">
        <v>131</v>
      </c>
      <c r="C2" s="463" t="s">
        <v>3226</v>
      </c>
    </row>
    <row r="3" spans="1:3">
      <c r="A3" s="298" t="s">
        <v>3213</v>
      </c>
      <c r="B3" s="298" t="s">
        <v>3214</v>
      </c>
      <c r="C3" s="298" t="s">
        <v>3215</v>
      </c>
    </row>
    <row r="4" spans="1:3">
      <c r="A4" s="298" t="s">
        <v>3216</v>
      </c>
      <c r="B4" s="298" t="s">
        <v>3217</v>
      </c>
      <c r="C4" s="298" t="s">
        <v>3218</v>
      </c>
    </row>
    <row r="5" spans="1:3">
      <c r="A5" s="298" t="s">
        <v>3219</v>
      </c>
      <c r="B5" s="298" t="s">
        <v>137</v>
      </c>
      <c r="C5" s="464" t="s">
        <v>3227</v>
      </c>
    </row>
    <row r="6" spans="1:3">
      <c r="A6" s="298" t="s">
        <v>142</v>
      </c>
      <c r="B6" s="298" t="s">
        <v>141</v>
      </c>
      <c r="C6" s="298" t="s">
        <v>3220</v>
      </c>
    </row>
    <row r="7" spans="1:3">
      <c r="A7" s="298" t="s">
        <v>157</v>
      </c>
      <c r="B7" s="298" t="s">
        <v>156</v>
      </c>
      <c r="C7" s="298" t="s">
        <v>3221</v>
      </c>
    </row>
    <row r="8" spans="1:3">
      <c r="A8" s="298" t="s">
        <v>3222</v>
      </c>
      <c r="B8" s="465" t="s">
        <v>1729</v>
      </c>
      <c r="C8" s="465" t="s">
        <v>3223</v>
      </c>
    </row>
  </sheetData>
</worksheet>
</file>

<file path=xl/worksheets/sheet2.xml><?xml version="1.0" encoding="utf-8"?>
<worksheet xmlns="http://schemas.openxmlformats.org/spreadsheetml/2006/main">
  <sheetPr codeName="实体列表">
    <tabColor/>
  </sheetPr>
  <dimension ref="F26"/>
  <sheetViews>
    <sheetView showGridLines="true" workbookViewId="0"/>
  </sheetViews>
  <sheetFormatPr baseColWidth="13" defaultRowHeight="18" customHeight="true"/>
  <cols>
    <col min="1" max="1" width="20.6406" customWidth="true"/>
    <col min="2" max="2" width="21.1719" customWidth="true"/>
    <col min="3" max="3" width="29.8125" customWidth="true"/>
    <col min="5" max="5" width="15.5938" customWidth="true"/>
    <col min="6" max="6" width="18.3438" customWidth="true"/>
    <col min="7" max="7" width="14.7031" customWidth="true"/>
  </cols>
  <sheetData>
    <row r="1" spans="1:6">
      <c r="A1" s="103" t="s">
        <v>126</v>
      </c>
      <c r="B1" s="103" t="s">
        <v>1697</v>
      </c>
      <c r="C1" s="103" t="s">
        <v>122</v>
      </c>
      <c r="D1" s="103" t="s">
        <v>124</v>
      </c>
      <c r="E1" s="103" t="s">
        <v>1698</v>
      </c>
      <c r="F1" s="103" t="s">
        <v>204</v>
      </c>
    </row>
    <row r="2" spans="1:7">
      <c r="A2" s="15" t="s">
        <v>131</v>
      </c>
      <c r="B2" s="15" t="s">
        <v>131</v>
      </c>
      <c r="C2" s="294" t="s">
        <v>129</v>
      </c>
      <c r="D2" s="15" t="s">
        <v>131</v>
      </c>
      <c r="E2" s="15" t="s">
        <v>1699</v>
      </c>
      <c r="F2" s="295">
        <v>0.5</v>
      </c>
      <c r="G2" s="31" t="s"/>
    </row>
    <row r="3" spans="1:7">
      <c r="A3" s="13" t="s">
        <v>158</v>
      </c>
      <c r="B3" s="13" t="s">
        <v>158</v>
      </c>
      <c r="C3" s="13" t="s">
        <v>155</v>
      </c>
      <c r="D3" s="13" t="s">
        <v>156</v>
      </c>
      <c r="E3" s="13" t="s">
        <v>1699</v>
      </c>
      <c r="F3" s="296">
        <v>0.5</v>
      </c>
      <c r="G3" s="31" t="s"/>
    </row>
    <row r="4" spans="1:7">
      <c r="A4" s="13" t="s">
        <v>143</v>
      </c>
      <c r="B4" s="13" t="s">
        <v>1700</v>
      </c>
      <c r="C4" s="13" t="s">
        <v>140</v>
      </c>
      <c r="D4" s="15" t="s">
        <v>141</v>
      </c>
      <c r="E4" s="15" t="s">
        <v>1699</v>
      </c>
      <c r="F4" s="296">
        <v>0.5</v>
      </c>
      <c r="G4" s="31" t="s"/>
    </row>
    <row r="5" spans="1:7">
      <c r="A5" s="15" t="s">
        <v>146</v>
      </c>
      <c r="B5" s="15" t="s">
        <v>1491</v>
      </c>
      <c r="C5" s="15" t="s">
        <v>145</v>
      </c>
      <c r="D5" s="15" t="s">
        <v>141</v>
      </c>
      <c r="E5" s="15" t="s">
        <v>1699</v>
      </c>
      <c r="F5" s="296">
        <v>0.5</v>
      </c>
      <c r="G5" s="31" t="s"/>
    </row>
    <row r="6" spans="1:7">
      <c r="A6" s="13" t="s">
        <v>161</v>
      </c>
      <c r="B6" s="13" t="s">
        <v>1701</v>
      </c>
      <c r="C6" s="13" t="s">
        <v>160</v>
      </c>
      <c r="D6" s="13" t="s">
        <v>156</v>
      </c>
      <c r="E6" s="297" t="s">
        <v>1699</v>
      </c>
      <c r="F6" s="296">
        <v>0.5</v>
      </c>
      <c r="G6" s="31" t="s"/>
    </row>
    <row r="7" spans="1:7">
      <c r="A7" s="13" t="s">
        <v>165</v>
      </c>
      <c r="B7" s="13" t="s">
        <v>1702</v>
      </c>
      <c r="C7" s="13" t="s">
        <v>164</v>
      </c>
      <c r="D7" s="13" t="s">
        <v>156</v>
      </c>
      <c r="E7" s="15" t="s">
        <v>1699</v>
      </c>
      <c r="F7" s="296">
        <v>0.5</v>
      </c>
      <c r="G7" s="31" t="s"/>
    </row>
    <row r="8" spans="1:7">
      <c r="A8" s="270" t="s">
        <v>169</v>
      </c>
      <c r="B8" s="270" t="s">
        <v>210</v>
      </c>
      <c r="C8" s="13" t="s">
        <v>168</v>
      </c>
      <c r="D8" s="13" t="s">
        <v>156</v>
      </c>
      <c r="E8" s="15" t="s">
        <v>1699</v>
      </c>
      <c r="F8" s="296">
        <v>0.5</v>
      </c>
      <c r="G8" s="31" t="s"/>
    </row>
    <row r="9" spans="1:7">
      <c r="A9" s="270" t="s">
        <v>172</v>
      </c>
      <c r="B9" s="270" t="s">
        <v>1703</v>
      </c>
      <c r="C9" s="13" t="s">
        <v>171</v>
      </c>
      <c r="D9" s="13" t="s">
        <v>156</v>
      </c>
      <c r="E9" s="15" t="s">
        <v>1699</v>
      </c>
      <c r="F9" s="296">
        <v>0.5</v>
      </c>
      <c r="G9" s="31" t="s"/>
    </row>
    <row r="10" spans="1:7">
      <c r="A10" s="270" t="s">
        <v>175</v>
      </c>
      <c r="B10" s="270" t="s">
        <v>175</v>
      </c>
      <c r="C10" s="13" t="s">
        <v>174</v>
      </c>
      <c r="D10" s="13" t="s">
        <v>156</v>
      </c>
      <c r="E10" s="15" t="s">
        <v>1699</v>
      </c>
      <c r="F10" s="296">
        <v>0.5</v>
      </c>
      <c r="G10" s="31" t="s"/>
    </row>
    <row r="11" spans="1:7">
      <c r="A11" s="13" t="s">
        <v>149</v>
      </c>
      <c r="B11" s="13" t="s">
        <v>149</v>
      </c>
      <c r="C11" s="13" t="s">
        <v>148</v>
      </c>
      <c r="D11" s="15" t="s">
        <v>141</v>
      </c>
      <c r="E11" s="15" t="s">
        <v>1699</v>
      </c>
      <c r="F11" s="295">
        <v>0.6</v>
      </c>
      <c r="G11" s="13" t="s">
        <v>1704</v>
      </c>
    </row>
    <row r="12" spans="1:7">
      <c r="A12" s="14" t="s">
        <v>137</v>
      </c>
      <c r="B12" s="14" t="s">
        <v>137</v>
      </c>
      <c r="C12" s="13" t="s">
        <v>136</v>
      </c>
      <c r="D12" s="15" t="s">
        <v>131</v>
      </c>
      <c r="E12" s="15" t="s">
        <v>1699</v>
      </c>
      <c r="F12" s="295">
        <v>0.6</v>
      </c>
      <c r="G12" s="14" t="s">
        <v>1705</v>
      </c>
    </row>
    <row r="13" spans="1:7">
      <c r="A13" s="14" t="s">
        <v>1090</v>
      </c>
      <c r="B13" s="14" t="s">
        <v>1090</v>
      </c>
      <c r="C13" s="13" t="s">
        <v>1706</v>
      </c>
      <c r="D13" s="15" t="s">
        <v>137</v>
      </c>
      <c r="E13" s="15" t="s">
        <v>1699</v>
      </c>
      <c r="F13" s="295">
        <v>0.7</v>
      </c>
      <c r="G13" s="14" t="s">
        <v>1174</v>
      </c>
    </row>
    <row r="14" spans="1:6">
      <c r="A14" t="s">
        <v>1707</v>
      </c>
      <c r="B14" t="s">
        <v>1708</v>
      </c>
      <c r="C14" t="s">
        <v>1709</v>
      </c>
      <c r="D14" s="15" t="s">
        <v>141</v>
      </c>
      <c r="E14" s="298" t="s">
        <v>1699</v>
      </c>
      <c r="F14">
        <v>0.7</v>
      </c>
    </row>
    <row r="15" spans="1:7">
      <c r="A15" s="270" t="s">
        <v>178</v>
      </c>
      <c r="B15" s="270" t="s">
        <v>1710</v>
      </c>
      <c r="C15" s="13" t="s">
        <v>177</v>
      </c>
      <c r="D15" s="13" t="s">
        <v>156</v>
      </c>
      <c r="E15" s="15" t="s">
        <v>1699</v>
      </c>
      <c r="F15" s="296" t="s">
        <v>1711</v>
      </c>
      <c r="G15" t="s">
        <v>1712</v>
      </c>
    </row>
    <row r="16" spans="1:7">
      <c r="A16" s="270" t="s">
        <v>182</v>
      </c>
      <c r="B16" s="270" t="s">
        <v>1713</v>
      </c>
      <c r="C16" s="13" t="s">
        <v>181</v>
      </c>
      <c r="D16" s="13" t="s">
        <v>156</v>
      </c>
      <c r="E16" s="15" t="s">
        <v>1699</v>
      </c>
      <c r="F16" s="296" t="s">
        <v>1711</v>
      </c>
      <c r="G16" t="s">
        <v>1712</v>
      </c>
    </row>
    <row r="17" spans="1:7">
      <c r="A17" s="299" t="s">
        <v>1714</v>
      </c>
      <c r="B17" s="270" t="s">
        <v>1715</v>
      </c>
      <c r="C17" s="13" t="s">
        <v>1716</v>
      </c>
      <c r="D17" s="13" t="s">
        <v>156</v>
      </c>
      <c r="E17" s="15" t="s">
        <v>1699</v>
      </c>
      <c r="F17" s="296">
        <v>0.5</v>
      </c>
      <c r="G17" s="13" t="s">
        <v>1717</v>
      </c>
    </row>
    <row r="18" spans="1:24" s="301" customFormat="true">
      <c r="A18" s="300" t="s">
        <v>1718</v>
      </c>
      <c r="B18" s="300" t="s">
        <v>1719</v>
      </c>
      <c r="C18" s="301" t="s">
        <v>177</v>
      </c>
      <c r="D18" s="301" t="s">
        <v>156</v>
      </c>
      <c r="E18" s="302" t="s">
        <v>1699</v>
      </c>
      <c r="F18" s="303">
        <v>0.7</v>
      </c>
      <c r="G18" s="304" t="s">
        <v>1720</v>
      </c>
      <c r="H18" s="300" t="s"/>
      <c r="I18" s="301" t="s"/>
      <c r="J18" s="301" t="s"/>
      <c r="K18" s="302" t="s"/>
      <c r="L18" s="303" t="s"/>
      <c r="M18" s="300" t="s"/>
      <c r="N18" s="300" t="s"/>
      <c r="O18" s="301" t="s"/>
      <c r="P18" s="301" t="s"/>
      <c r="Q18" s="302" t="s"/>
      <c r="R18" s="303" t="s"/>
      <c r="S18" s="300" t="s"/>
      <c r="T18" s="300" t="s"/>
      <c r="U18" s="301" t="s"/>
      <c r="V18" s="301" t="s"/>
      <c r="W18" s="302" t="s"/>
      <c r="X18" s="303" t="s"/>
    </row>
    <row r="19" spans="1:6">
      <c r="A19" s="305" t="s"/>
      <c r="B19" s="305" t="s"/>
      <c r="E19" s="298" t="s"/>
      <c r="F19" s="306" t="s"/>
    </row>
    <row r="20" spans="1:6">
      <c r="A20" s="305" t="s">
        <v>186</v>
      </c>
      <c r="B20" s="305" t="s">
        <v>1721</v>
      </c>
      <c r="C20" t="s">
        <v>185</v>
      </c>
      <c r="D20" t="s">
        <v>156</v>
      </c>
      <c r="E20" s="298" t="s">
        <v>1699</v>
      </c>
      <c r="F20" s="306">
        <v>0.5</v>
      </c>
    </row>
    <row r="21" spans="1:6">
      <c r="A21" s="305" t="s">
        <v>189</v>
      </c>
      <c r="B21" s="305" t="s">
        <v>1722</v>
      </c>
      <c r="C21" t="s">
        <v>188</v>
      </c>
      <c r="D21" t="s">
        <v>156</v>
      </c>
      <c r="E21" s="298" t="s">
        <v>1699</v>
      </c>
      <c r="F21" s="306">
        <v>0.5</v>
      </c>
    </row>
    <row r="22" spans="1:6">
      <c r="A22" s="305" t="s">
        <v>192</v>
      </c>
      <c r="B22" s="305" t="s">
        <v>1723</v>
      </c>
      <c r="C22" t="s">
        <v>191</v>
      </c>
      <c r="D22" t="s">
        <v>156</v>
      </c>
      <c r="E22" s="298" t="s">
        <v>1699</v>
      </c>
      <c r="F22" s="306">
        <v>0.5</v>
      </c>
    </row>
    <row r="23" spans="1:6">
      <c r="A23" s="305" t="s">
        <v>195</v>
      </c>
      <c r="B23" s="305" t="s">
        <v>1724</v>
      </c>
      <c r="C23" t="s">
        <v>194</v>
      </c>
      <c r="D23" t="s">
        <v>156</v>
      </c>
      <c r="E23" s="298" t="s">
        <v>1699</v>
      </c>
      <c r="F23" s="306">
        <v>0.5</v>
      </c>
    </row>
    <row r="24" spans="1:6">
      <c r="A24" t="s">
        <v>153</v>
      </c>
      <c r="B24" t="s">
        <v>1725</v>
      </c>
      <c r="C24" t="s">
        <v>152</v>
      </c>
      <c r="D24" t="s">
        <v>141</v>
      </c>
      <c r="E24" t="s">
        <v>1699</v>
      </c>
      <c r="F24" s="306">
        <v>0.5</v>
      </c>
    </row>
    <row r="25" spans="1:6">
      <c r="A25" s="267" t="s">
        <v>198</v>
      </c>
      <c r="B25" t="s">
        <v>1726</v>
      </c>
      <c r="C25" t="s">
        <v>197</v>
      </c>
      <c r="D25" t="s">
        <v>156</v>
      </c>
      <c r="E25" s="298" t="s">
        <v>1699</v>
      </c>
      <c r="F25" s="307">
        <v>0.6</v>
      </c>
    </row>
    <row r="26" spans="1:6" s="466" customFormat="true">
      <c r="A26" s="13" t="s">
        <v>1727</v>
      </c>
      <c r="B26" s="13" t="s">
        <v>207</v>
      </c>
      <c r="C26" s="13" t="s">
        <v>1728</v>
      </c>
      <c r="D26" s="14" t="s">
        <v>1729</v>
      </c>
      <c r="E26" s="15" t="s">
        <v>1699</v>
      </c>
      <c r="F26" s="13">
        <v>0.7</v>
      </c>
    </row>
  </sheetData>
</worksheet>
</file>

<file path=xl/worksheets/sheet3.xml><?xml version="1.0" encoding="utf-8"?>
<worksheet xmlns="http://schemas.openxmlformats.org/spreadsheetml/2006/main">
  <sheetPr codeName="表信息">
    <tabColor/>
  </sheetPr>
  <dimension ref="G27"/>
  <sheetViews>
    <sheetView showGridLines="true" workbookViewId="0"/>
  </sheetViews>
  <sheetFormatPr baseColWidth="13" defaultRowHeight="18" customHeight="true"/>
  <cols>
    <col min="1" max="1" width="36.9609" customWidth="true"/>
    <col min="2" max="2" width="20.9922" customWidth="true"/>
    <col min="6" max="6" width="20.6406" customWidth="true"/>
  </cols>
  <sheetData>
    <row r="1" spans="1:7">
      <c r="A1" s="7" t="s">
        <v>8</v>
      </c>
      <c r="B1" s="7" t="s">
        <v>122</v>
      </c>
      <c r="C1" s="7" t="s">
        <v>123</v>
      </c>
      <c r="D1" s="7" t="s">
        <v>124</v>
      </c>
      <c r="E1" s="7" t="s">
        <v>125</v>
      </c>
      <c r="F1" s="7" t="s">
        <v>126</v>
      </c>
      <c r="G1" s="4" t="s">
        <v>127</v>
      </c>
    </row>
    <row r="2" spans="1:7">
      <c r="A2" s="8" t="s">
        <v>128</v>
      </c>
      <c r="B2" s="9" t="s">
        <v>129</v>
      </c>
      <c r="C2" s="8" t="s">
        <v>130</v>
      </c>
      <c r="D2" s="10" t="s">
        <v>131</v>
      </c>
      <c r="E2" s="10" t="s">
        <v>132</v>
      </c>
      <c r="F2" s="10" t="s">
        <v>131</v>
      </c>
      <c r="G2">
        <v>6</v>
      </c>
    </row>
    <row r="3" spans="1:7">
      <c r="A3" s="8" t="s">
        <v>133</v>
      </c>
      <c r="B3" s="11" t="s">
        <v>129</v>
      </c>
      <c r="C3" s="8" t="s">
        <v>134</v>
      </c>
      <c r="D3" s="8" t="s">
        <v>131</v>
      </c>
      <c r="E3" s="8" t="s">
        <v>132</v>
      </c>
      <c r="F3" s="8" t="s">
        <v>131</v>
      </c>
      <c r="G3">
        <v>11</v>
      </c>
    </row>
    <row r="4" spans="1:7">
      <c r="A4" s="12" t="s">
        <v>135</v>
      </c>
      <c r="B4" s="13" t="s">
        <v>136</v>
      </c>
      <c r="C4" s="14" t="s">
        <v>130</v>
      </c>
      <c r="D4" s="15" t="s">
        <v>131</v>
      </c>
      <c r="E4" s="15" t="s">
        <v>132</v>
      </c>
      <c r="F4" s="14" t="s">
        <v>137</v>
      </c>
      <c r="G4">
        <v>3</v>
      </c>
    </row>
    <row r="5" spans="1:7">
      <c r="A5" s="12" t="s">
        <v>138</v>
      </c>
      <c r="B5" s="13" t="s">
        <v>136</v>
      </c>
      <c r="C5" s="15" t="s">
        <v>134</v>
      </c>
      <c r="D5" s="15" t="s">
        <v>131</v>
      </c>
      <c r="E5" s="15" t="s">
        <v>132</v>
      </c>
      <c r="F5" s="14" t="s">
        <v>137</v>
      </c>
      <c r="G5">
        <v>67</v>
      </c>
    </row>
    <row r="6" spans="1:7">
      <c r="A6" s="16" t="s">
        <v>139</v>
      </c>
      <c r="B6" s="17" t="s">
        <v>140</v>
      </c>
      <c r="C6" s="8" t="s">
        <v>130</v>
      </c>
      <c r="D6" s="10" t="s">
        <v>141</v>
      </c>
      <c r="E6" s="10" t="s">
        <v>142</v>
      </c>
      <c r="F6" s="17" t="s">
        <v>143</v>
      </c>
      <c r="G6">
        <v>17</v>
      </c>
    </row>
    <row r="7" spans="1:7">
      <c r="A7" s="18" t="s">
        <v>144</v>
      </c>
      <c r="B7" s="10" t="s">
        <v>145</v>
      </c>
      <c r="C7" s="8" t="s">
        <v>130</v>
      </c>
      <c r="D7" s="10" t="s">
        <v>141</v>
      </c>
      <c r="E7" s="10" t="s">
        <v>142</v>
      </c>
      <c r="F7" s="10" t="s">
        <v>146</v>
      </c>
      <c r="G7">
        <v>18</v>
      </c>
    </row>
    <row r="8" spans="1:7">
      <c r="A8" t="s">
        <v>147</v>
      </c>
      <c r="B8" s="13" t="s">
        <v>148</v>
      </c>
      <c r="C8" s="14" t="s">
        <v>130</v>
      </c>
      <c r="D8" s="15" t="s">
        <v>141</v>
      </c>
      <c r="E8" s="15" t="s">
        <v>142</v>
      </c>
      <c r="F8" s="13" t="s">
        <v>149</v>
      </c>
      <c r="G8">
        <v>12</v>
      </c>
    </row>
    <row r="9" spans="1:7">
      <c r="A9" s="19" t="s">
        <v>150</v>
      </c>
      <c r="B9" s="13" t="s">
        <v>148</v>
      </c>
      <c r="C9" s="15" t="s">
        <v>134</v>
      </c>
      <c r="D9" s="15" t="s">
        <v>141</v>
      </c>
      <c r="E9" s="15" t="s">
        <v>142</v>
      </c>
      <c r="F9" s="13" t="s">
        <v>149</v>
      </c>
      <c r="G9">
        <v>12</v>
      </c>
    </row>
    <row r="10" spans="1:7">
      <c r="A10" s="13" t="s">
        <v>151</v>
      </c>
      <c r="B10" t="s">
        <v>152</v>
      </c>
      <c r="C10" t="s">
        <v>134</v>
      </c>
      <c r="D10" t="s">
        <v>141</v>
      </c>
      <c r="E10" t="s">
        <v>142</v>
      </c>
      <c r="F10" t="s">
        <v>153</v>
      </c>
      <c r="G10">
        <v>33</v>
      </c>
    </row>
    <row r="11" spans="1:7">
      <c r="A11" s="14" t="s">
        <v>154</v>
      </c>
      <c r="B11" s="13" t="s">
        <v>155</v>
      </c>
      <c r="C11" s="14" t="s">
        <v>130</v>
      </c>
      <c r="D11" s="13" t="s">
        <v>156</v>
      </c>
      <c r="E11" s="20" t="s">
        <v>157</v>
      </c>
      <c r="F11" s="13" t="s">
        <v>158</v>
      </c>
      <c r="G11">
        <v>13</v>
      </c>
    </row>
    <row r="12" spans="1:7">
      <c r="A12" s="18" t="s">
        <v>159</v>
      </c>
      <c r="B12" s="17" t="s">
        <v>160</v>
      </c>
      <c r="C12" s="16" t="s">
        <v>130</v>
      </c>
      <c r="D12" s="17" t="s">
        <v>156</v>
      </c>
      <c r="E12" s="21" t="s">
        <v>157</v>
      </c>
      <c r="F12" s="17" t="s">
        <v>161</v>
      </c>
      <c r="G12">
        <v>20</v>
      </c>
    </row>
    <row r="13" spans="1:7">
      <c r="A13" s="22" t="s">
        <v>162</v>
      </c>
      <c r="B13" s="23" t="s">
        <v>160</v>
      </c>
      <c r="C13" s="8" t="s">
        <v>134</v>
      </c>
      <c r="D13" s="23" t="s">
        <v>156</v>
      </c>
      <c r="E13" s="24" t="s">
        <v>157</v>
      </c>
      <c r="F13" s="23" t="s">
        <v>161</v>
      </c>
      <c r="G13">
        <v>21</v>
      </c>
    </row>
    <row r="14" spans="1:7">
      <c r="A14" s="16" t="s">
        <v>163</v>
      </c>
      <c r="B14" s="17" t="s">
        <v>164</v>
      </c>
      <c r="C14" s="16" t="s">
        <v>130</v>
      </c>
      <c r="D14" s="17" t="s">
        <v>156</v>
      </c>
      <c r="E14" s="21" t="s">
        <v>157</v>
      </c>
      <c r="F14" s="17" t="s">
        <v>165</v>
      </c>
      <c r="G14">
        <v>15</v>
      </c>
    </row>
    <row r="15" spans="1:7">
      <c r="A15" s="25" t="s">
        <v>166</v>
      </c>
      <c r="B15" s="23" t="s">
        <v>164</v>
      </c>
      <c r="C15" s="8" t="s">
        <v>134</v>
      </c>
      <c r="D15" s="23" t="s">
        <v>156</v>
      </c>
      <c r="E15" s="24" t="s">
        <v>157</v>
      </c>
      <c r="F15" s="23" t="s">
        <v>165</v>
      </c>
      <c r="G15">
        <v>13</v>
      </c>
    </row>
    <row r="16" spans="1:7">
      <c r="A16" s="26" t="s">
        <v>167</v>
      </c>
      <c r="B16" s="17" t="s">
        <v>168</v>
      </c>
      <c r="C16" s="16" t="s">
        <v>130</v>
      </c>
      <c r="D16" s="17" t="s">
        <v>156</v>
      </c>
      <c r="E16" s="21" t="s">
        <v>157</v>
      </c>
      <c r="F16" s="27" t="s">
        <v>169</v>
      </c>
      <c r="G16">
        <v>21</v>
      </c>
    </row>
    <row r="17" spans="1:7">
      <c r="A17" s="28" t="s">
        <v>170</v>
      </c>
      <c r="B17" s="17" t="s">
        <v>171</v>
      </c>
      <c r="C17" s="16" t="s">
        <v>130</v>
      </c>
      <c r="D17" s="17" t="s">
        <v>156</v>
      </c>
      <c r="E17" s="21" t="s">
        <v>157</v>
      </c>
      <c r="F17" s="27" t="s">
        <v>172</v>
      </c>
      <c r="G17">
        <v>23</v>
      </c>
    </row>
    <row r="18" spans="1:7">
      <c r="A18" s="29" t="s">
        <v>173</v>
      </c>
      <c r="B18" s="17" t="s">
        <v>174</v>
      </c>
      <c r="C18" s="16" t="s">
        <v>130</v>
      </c>
      <c r="D18" s="17" t="s">
        <v>156</v>
      </c>
      <c r="E18" s="21" t="s">
        <v>157</v>
      </c>
      <c r="F18" s="27" t="s">
        <v>175</v>
      </c>
      <c r="G18">
        <v>12</v>
      </c>
    </row>
    <row r="19" spans="1:7" s="13" customFormat="true">
      <c r="A19" s="30" t="s">
        <v>176</v>
      </c>
      <c r="B19" s="17" t="s">
        <v>177</v>
      </c>
      <c r="C19" s="23" t="s">
        <v>130</v>
      </c>
      <c r="D19" s="17" t="s">
        <v>156</v>
      </c>
      <c r="E19" s="17" t="s">
        <v>157</v>
      </c>
      <c r="F19" s="27" t="s">
        <v>178</v>
      </c>
      <c r="G19" s="31">
        <v>15</v>
      </c>
    </row>
    <row r="20" spans="1:7" s="13" customFormat="true">
      <c r="A20" s="32" t="s">
        <v>179</v>
      </c>
      <c r="B20" s="23" t="s">
        <v>177</v>
      </c>
      <c r="C20" s="23" t="s">
        <v>134</v>
      </c>
      <c r="D20" s="23" t="s">
        <v>156</v>
      </c>
      <c r="E20" s="23" t="s">
        <v>157</v>
      </c>
      <c r="F20" s="32" t="s">
        <v>178</v>
      </c>
      <c r="G20" s="31">
        <v>22</v>
      </c>
    </row>
    <row r="21" spans="1:7" s="13" customFormat="true">
      <c r="A21" s="30" t="s">
        <v>180</v>
      </c>
      <c r="B21" s="17" t="s">
        <v>181</v>
      </c>
      <c r="C21" s="23" t="s">
        <v>130</v>
      </c>
      <c r="D21" s="17" t="s">
        <v>156</v>
      </c>
      <c r="E21" s="17" t="s">
        <v>157</v>
      </c>
      <c r="F21" s="27" t="s">
        <v>182</v>
      </c>
      <c r="G21" s="31">
        <v>11</v>
      </c>
    </row>
    <row r="22" spans="1:7" s="13" customFormat="true">
      <c r="A22" s="30" t="s">
        <v>183</v>
      </c>
      <c r="B22" s="23" t="s">
        <v>181</v>
      </c>
      <c r="C22" s="23" t="s">
        <v>134</v>
      </c>
      <c r="D22" s="23" t="s">
        <v>156</v>
      </c>
      <c r="E22" s="23" t="s">
        <v>157</v>
      </c>
      <c r="F22" s="32" t="s">
        <v>182</v>
      </c>
      <c r="G22" s="31">
        <v>25</v>
      </c>
    </row>
    <row r="23" spans="1:7">
      <c r="A23" s="33" t="s">
        <v>184</v>
      </c>
      <c r="B23" s="34" t="s">
        <v>185</v>
      </c>
      <c r="C23" s="34" t="s">
        <v>134</v>
      </c>
      <c r="D23" s="34" t="s">
        <v>156</v>
      </c>
      <c r="E23" t="s">
        <v>157</v>
      </c>
      <c r="F23" s="35" t="s">
        <v>186</v>
      </c>
      <c r="G23">
        <v>48</v>
      </c>
    </row>
    <row r="24" spans="1:7">
      <c r="A24" s="36" t="s">
        <v>187</v>
      </c>
      <c r="B24" s="34" t="s">
        <v>188</v>
      </c>
      <c r="C24" s="34" t="s">
        <v>134</v>
      </c>
      <c r="D24" s="34" t="s">
        <v>156</v>
      </c>
      <c r="E24" t="s">
        <v>157</v>
      </c>
      <c r="F24" s="35" t="s">
        <v>189</v>
      </c>
      <c r="G24">
        <v>57</v>
      </c>
    </row>
    <row r="25" spans="1:7">
      <c r="A25" s="36" t="s">
        <v>190</v>
      </c>
      <c r="B25" s="34" t="s">
        <v>191</v>
      </c>
      <c r="C25" s="34" t="s">
        <v>134</v>
      </c>
      <c r="D25" s="34" t="s">
        <v>156</v>
      </c>
      <c r="E25" t="s">
        <v>157</v>
      </c>
      <c r="F25" s="35" t="s">
        <v>192</v>
      </c>
      <c r="G25">
        <v>31</v>
      </c>
    </row>
    <row r="26" spans="1:7">
      <c r="A26" s="37" t="s">
        <v>193</v>
      </c>
      <c r="B26" s="34" t="s">
        <v>194</v>
      </c>
      <c r="C26" s="34" t="s">
        <v>134</v>
      </c>
      <c r="D26" s="34" t="s">
        <v>156</v>
      </c>
      <c r="E26" t="s">
        <v>157</v>
      </c>
      <c r="F26" s="35" t="s">
        <v>195</v>
      </c>
      <c r="G26">
        <v>50</v>
      </c>
    </row>
    <row r="27" spans="1:7">
      <c r="A27" s="34" t="s">
        <v>196</v>
      </c>
      <c r="B27" s="34" t="s">
        <v>197</v>
      </c>
      <c r="C27" s="34" t="s">
        <v>134</v>
      </c>
      <c r="D27" s="34" t="s">
        <v>156</v>
      </c>
      <c r="E27" t="s">
        <v>157</v>
      </c>
      <c r="F27" s="38" t="s">
        <v>198</v>
      </c>
      <c r="G27">
        <v>56</v>
      </c>
    </row>
  </sheetData>
</worksheet>
</file>

<file path=xl/worksheets/sheet4.xml><?xml version="1.0" encoding="utf-8"?>
<worksheet xmlns="http://schemas.openxmlformats.org/spreadsheetml/2006/main">
  <sheetPr codeName="eqp">
    <tabColor/>
  </sheetPr>
  <dimension ref="K66"/>
  <sheetViews>
    <sheetView showGridLines="true" workbookViewId="0"/>
  </sheetViews>
  <sheetFormatPr baseColWidth="13" defaultRowHeight="18" customHeight="true"/>
  <cols>
    <col min="1" max="1" width="45.9922" style="31" customWidth="true"/>
    <col min="2" max="2" width="23.6016" style="31" customWidth="true"/>
    <col min="3" max="3" width="13.6719" style="13"/>
    <col min="4" max="4" width="27.7812" style="31" customWidth="true"/>
    <col min="5" max="5" width="27.3828" style="31" customWidth="true"/>
    <col min="6" max="7" width="13.6719" style="13"/>
    <col min="8" max="8" width="19.6914" style="31" customWidth="true"/>
    <col min="9" max="9" width="30.082" style="31" customWidth="true"/>
    <col min="10" max="10" width="27.6523" style="31" customWidth="true"/>
    <col min="11" max="11" width="16.7227" style="31" customWidth="true"/>
    <col min="12" max="26" width="13.6719" style="13"/>
  </cols>
  <sheetData>
    <row r="1" spans="1:11">
      <c r="A1" s="83" t="s">
        <v>1</v>
      </c>
      <c r="B1" s="83" t="s">
        <v>2</v>
      </c>
      <c r="C1" s="83" t="s">
        <v>202</v>
      </c>
      <c r="D1" s="83" t="s">
        <v>4</v>
      </c>
      <c r="E1" s="83" t="s">
        <v>5</v>
      </c>
      <c r="F1" s="83" t="s">
        <v>6</v>
      </c>
      <c r="G1" s="83" t="s">
        <v>7</v>
      </c>
      <c r="H1" s="83" t="s">
        <v>9</v>
      </c>
      <c r="I1" s="83" t="s">
        <v>8</v>
      </c>
      <c r="J1" s="13" t="s">
        <v>9</v>
      </c>
      <c r="K1" s="13" t="s">
        <v>204</v>
      </c>
    </row>
    <row r="2" spans="1:11">
      <c r="A2" s="47" t="s"/>
      <c r="B2" s="81" t="s"/>
      <c r="C2" s="47" t="s"/>
      <c r="D2" s="81" t="s">
        <v>2798</v>
      </c>
      <c r="E2" s="47" t="s">
        <v>2799</v>
      </c>
      <c r="F2" s="81" t="s">
        <v>12</v>
      </c>
      <c r="G2" s="48" t="s">
        <v>13</v>
      </c>
      <c r="H2" s="48" t="s">
        <v>420</v>
      </c>
      <c r="I2" s="48" t="s"/>
      <c r="J2" s="31" t="s"/>
      <c r="K2" s="398">
        <v>0.6</v>
      </c>
    </row>
    <row r="3" spans="1:26" s="248" customFormat="true">
      <c r="A3" s="399" t="s">
        <v>2800</v>
      </c>
      <c r="B3" s="400" t="s">
        <v>417</v>
      </c>
      <c r="C3" s="399" t="s"/>
      <c r="D3" s="400" t="s">
        <v>2729</v>
      </c>
      <c r="E3" s="399" t="s">
        <v>420</v>
      </c>
      <c r="F3" s="400" t="s">
        <v>12</v>
      </c>
      <c r="G3" s="289" t="s">
        <v>13</v>
      </c>
      <c r="H3" s="289" t="s"/>
      <c r="I3" s="289" t="s">
        <v>128</v>
      </c>
      <c r="J3" s="290" t="s">
        <f>=_xlfn.CONCAT(B3," AS ",E3,",")</f>
        <v>2077</v>
      </c>
      <c r="K3" s="401" t="s">
        <v>2801</v>
      </c>
      <c r="L3" s="248" t="s"/>
      <c r="M3" s="248" t="s"/>
      <c r="N3" s="248" t="s"/>
      <c r="O3" s="248" t="s"/>
      <c r="P3" s="248" t="s"/>
      <c r="Q3" s="248" t="s"/>
      <c r="R3" s="248" t="s"/>
      <c r="S3" s="248" t="s"/>
      <c r="T3" s="248" t="s"/>
      <c r="U3" s="248" t="s"/>
      <c r="V3" s="248" t="s"/>
      <c r="W3" s="248" t="s"/>
      <c r="X3" s="248" t="s"/>
      <c r="Y3" s="248" t="s"/>
      <c r="Z3" s="248" t="s"/>
    </row>
    <row r="4" spans="1:11">
      <c r="A4" s="47" t="s">
        <v>2800</v>
      </c>
      <c r="B4" s="81" t="s">
        <v>31</v>
      </c>
      <c r="C4" s="47" t="s"/>
      <c r="D4" s="81" t="s">
        <v>33</v>
      </c>
      <c r="E4" s="47" t="s">
        <v>34</v>
      </c>
      <c r="F4" s="81" t="s">
        <v>12</v>
      </c>
      <c r="G4" s="48" t="s">
        <v>13</v>
      </c>
      <c r="H4" s="48" t="s"/>
      <c r="I4" s="48" t="s">
        <v>128</v>
      </c>
      <c r="J4" s="13" t="s">
        <f>=_xlfn.CONCAT(B4," AS ",E4,",")</f>
        <v>1469</v>
      </c>
      <c r="K4" s="398">
        <v>0.6</v>
      </c>
    </row>
    <row r="5" spans="1:26" s="290" customFormat="true">
      <c r="A5" s="399" t="s">
        <v>2800</v>
      </c>
      <c r="B5" s="400" t="s">
        <v>2087</v>
      </c>
      <c r="C5" s="399" t="s"/>
      <c r="D5" s="400" t="s">
        <v>1482</v>
      </c>
      <c r="E5" s="399" t="s">
        <v>1483</v>
      </c>
      <c r="F5" s="400" t="s">
        <v>12</v>
      </c>
      <c r="G5" s="289" t="s">
        <v>13</v>
      </c>
      <c r="H5" s="289" t="s"/>
      <c r="I5" s="289" t="s">
        <v>128</v>
      </c>
      <c r="J5" s="290" t="s">
        <f>=_xlfn.CONCAT(B5," AS ",E5,",")</f>
        <v>2802</v>
      </c>
      <c r="K5" s="401" t="s">
        <v>2801</v>
      </c>
      <c r="L5" s="248" t="s"/>
      <c r="M5" s="248" t="s"/>
      <c r="N5" s="248" t="s"/>
      <c r="O5" s="248" t="s"/>
      <c r="P5" s="248" t="s"/>
      <c r="Q5" s="248" t="s"/>
      <c r="R5" s="248" t="s"/>
      <c r="S5" s="248" t="s"/>
      <c r="T5" s="248" t="s"/>
      <c r="U5" s="248" t="s"/>
      <c r="V5" s="248" t="s"/>
      <c r="W5" s="248" t="s"/>
      <c r="X5" s="248" t="s"/>
      <c r="Y5" s="248" t="s"/>
      <c r="Z5" s="248" t="s"/>
    </row>
    <row r="6" spans="1:11">
      <c r="A6" s="47" t="s">
        <v>2800</v>
      </c>
      <c r="B6" s="81" t="s">
        <v>2803</v>
      </c>
      <c r="C6" s="47" t="s"/>
      <c r="D6" s="81" t="s">
        <v>2804</v>
      </c>
      <c r="E6" s="47" t="s">
        <v>2805</v>
      </c>
      <c r="F6" s="81" t="s">
        <v>12</v>
      </c>
      <c r="G6" s="48" t="s">
        <v>13</v>
      </c>
      <c r="H6" s="48" t="s"/>
      <c r="I6" s="48" t="s">
        <v>128</v>
      </c>
      <c r="J6" s="13" t="s">
        <f>=_xlfn.CONCAT(B6," AS ",E6,",")</f>
        <v>2806</v>
      </c>
      <c r="K6" s="398">
        <v>0.6</v>
      </c>
    </row>
    <row r="7" spans="1:26" s="467" customFormat="true">
      <c r="A7" s="276" t="s"/>
      <c r="B7" s="276" t="s"/>
      <c r="C7" s="276" t="s"/>
      <c r="D7" s="54" t="s">
        <v>2807</v>
      </c>
      <c r="E7" s="54" t="s">
        <v>2808</v>
      </c>
      <c r="F7" s="52" t="s">
        <v>12</v>
      </c>
      <c r="G7" s="54" t="s">
        <v>13</v>
      </c>
      <c r="H7" s="54" t="s"/>
      <c r="I7" s="54" t="s">
        <v>128</v>
      </c>
      <c r="J7" s="277" t="s"/>
      <c r="K7" s="270" t="s">
        <v>566</v>
      </c>
      <c r="L7" s="277" t="s"/>
      <c r="M7" s="277" t="s"/>
      <c r="N7" s="277" t="s"/>
      <c r="O7" s="277" t="s"/>
      <c r="P7" s="277" t="s"/>
      <c r="Q7" s="277" t="s"/>
      <c r="R7" s="277" t="s"/>
      <c r="S7" s="277" t="s"/>
      <c r="T7" s="277" t="s"/>
      <c r="U7" s="277" t="s"/>
      <c r="V7" s="277" t="s"/>
      <c r="W7" s="277" t="s"/>
      <c r="X7" s="277" t="s"/>
      <c r="Y7" s="277" t="s"/>
      <c r="Z7" s="277" t="s"/>
    </row>
    <row r="8" spans="1:26" s="467" customFormat="true">
      <c r="A8" s="276" t="s"/>
      <c r="B8" s="276" t="s"/>
      <c r="C8" s="276" t="s"/>
      <c r="D8" s="54" t="s">
        <v>2809</v>
      </c>
      <c r="E8" s="54" t="s">
        <v>2810</v>
      </c>
      <c r="F8" s="52" t="s">
        <v>12</v>
      </c>
      <c r="G8" s="54" t="s">
        <v>13</v>
      </c>
      <c r="H8" s="54" t="s">
        <v>2811</v>
      </c>
      <c r="I8" s="54" t="s">
        <v>128</v>
      </c>
      <c r="J8" s="270" t="s"/>
      <c r="K8" s="270" t="s">
        <v>566</v>
      </c>
      <c r="L8" s="277" t="s"/>
      <c r="M8" s="277" t="s"/>
      <c r="N8" s="277" t="s"/>
      <c r="O8" s="277" t="s"/>
      <c r="P8" s="277" t="s"/>
      <c r="Q8" s="277" t="s"/>
      <c r="R8" s="277" t="s"/>
      <c r="S8" s="277" t="s"/>
      <c r="T8" s="277" t="s"/>
      <c r="U8" s="277" t="s"/>
      <c r="V8" s="277" t="s"/>
      <c r="W8" s="277" t="s"/>
      <c r="X8" s="277" t="s"/>
      <c r="Y8" s="277" t="s"/>
      <c r="Z8" s="277" t="s"/>
    </row>
    <row r="9" spans="1:26" s="468" customFormat="true">
      <c r="A9" s="402" t="s"/>
      <c r="B9" s="402" t="s"/>
      <c r="C9" s="402" t="s"/>
      <c r="D9" s="54" t="s">
        <v>2812</v>
      </c>
      <c r="E9" s="54" t="s">
        <v>2813</v>
      </c>
      <c r="F9" s="52" t="s">
        <v>12</v>
      </c>
      <c r="G9" s="54" t="s">
        <v>13</v>
      </c>
      <c r="H9" s="54" t="s">
        <v>2811</v>
      </c>
      <c r="I9" s="54" t="s">
        <v>128</v>
      </c>
      <c r="J9" s="270" t="s"/>
      <c r="K9" s="270" t="s">
        <v>566</v>
      </c>
      <c r="L9" s="217" t="s"/>
      <c r="M9" s="217" t="s"/>
      <c r="N9" s="217" t="s"/>
      <c r="O9" s="217" t="s"/>
      <c r="P9" s="217" t="s"/>
      <c r="Q9" s="217" t="s"/>
      <c r="R9" s="217" t="s"/>
      <c r="S9" s="217" t="s"/>
      <c r="T9" s="217" t="s"/>
      <c r="U9" s="217" t="s"/>
      <c r="V9" s="217" t="s"/>
      <c r="W9" s="217" t="s"/>
      <c r="X9" s="217" t="s"/>
      <c r="Y9" s="217" t="s"/>
      <c r="Z9" s="217" t="s"/>
    </row>
    <row r="10" spans="1:26" s="467" customFormat="true">
      <c r="A10" s="54" t="s">
        <v>759</v>
      </c>
      <c r="B10" s="276" t="s"/>
      <c r="C10" s="276" t="s"/>
      <c r="D10" s="54" t="s">
        <v>2814</v>
      </c>
      <c r="E10" s="54" t="s">
        <v>1486</v>
      </c>
      <c r="F10" s="52" t="s">
        <v>12</v>
      </c>
      <c r="G10" s="54" t="s">
        <v>13</v>
      </c>
      <c r="H10" s="54" t="s"/>
      <c r="I10" s="54" t="s">
        <v>128</v>
      </c>
      <c r="J10" s="270" t="s"/>
      <c r="K10" s="270" t="s">
        <v>2815</v>
      </c>
      <c r="L10" s="277" t="s"/>
      <c r="M10" s="277" t="s"/>
      <c r="N10" s="277" t="s"/>
      <c r="O10" s="277" t="s"/>
      <c r="P10" s="277" t="s"/>
      <c r="Q10" s="277" t="s"/>
      <c r="R10" s="277" t="s"/>
      <c r="S10" s="277" t="s"/>
      <c r="T10" s="277" t="s"/>
      <c r="U10" s="277" t="s"/>
      <c r="V10" s="277" t="s"/>
      <c r="W10" s="277" t="s"/>
      <c r="X10" s="277" t="s"/>
      <c r="Y10" s="277" t="s"/>
      <c r="Z10" s="277" t="s"/>
    </row>
    <row r="11" spans="1:26" s="467" customFormat="true">
      <c r="A11" s="276" t="s"/>
      <c r="B11" s="276" t="s"/>
      <c r="C11" s="276" t="s"/>
      <c r="D11" s="54" t="s">
        <v>2816</v>
      </c>
      <c r="E11" s="403" t="s">
        <v>2817</v>
      </c>
      <c r="F11" s="52" t="s">
        <v>12</v>
      </c>
      <c r="G11" s="54" t="s">
        <v>13</v>
      </c>
      <c r="H11" s="54" t="s">
        <v>2811</v>
      </c>
      <c r="I11" s="54" t="s">
        <v>128</v>
      </c>
      <c r="J11" s="270" t="s"/>
      <c r="K11" s="270" t="s">
        <v>2815</v>
      </c>
      <c r="L11" s="277" t="s"/>
      <c r="M11" s="277" t="s"/>
      <c r="N11" s="277" t="s"/>
      <c r="O11" s="277" t="s"/>
      <c r="P11" s="277" t="s"/>
      <c r="Q11" s="277" t="s"/>
      <c r="R11" s="277" t="s"/>
      <c r="S11" s="277" t="s"/>
      <c r="T11" s="277" t="s"/>
      <c r="U11" s="277" t="s"/>
      <c r="V11" s="277" t="s"/>
      <c r="W11" s="277" t="s"/>
      <c r="X11" s="277" t="s"/>
      <c r="Y11" s="277" t="s"/>
      <c r="Z11" s="277" t="s"/>
    </row>
    <row r="12" spans="1:26" s="467" customFormat="true">
      <c r="A12" s="276" t="s"/>
      <c r="B12" s="276" t="s"/>
      <c r="C12" s="276" t="s"/>
      <c r="D12" s="54" t="s">
        <v>1242</v>
      </c>
      <c r="E12" s="91" t="s">
        <v>2818</v>
      </c>
      <c r="F12" s="52" t="s">
        <v>12</v>
      </c>
      <c r="G12" s="54" t="s">
        <v>13</v>
      </c>
      <c r="H12" s="54" t="s"/>
      <c r="I12" s="54" t="s">
        <v>128</v>
      </c>
      <c r="J12" s="277" t="s"/>
      <c r="K12" s="270" t="s">
        <v>566</v>
      </c>
      <c r="L12" s="277" t="s"/>
      <c r="M12" s="277" t="s"/>
      <c r="N12" s="277" t="s"/>
      <c r="O12" s="277" t="s"/>
      <c r="P12" s="277" t="s"/>
      <c r="Q12" s="277" t="s"/>
      <c r="R12" s="277" t="s"/>
      <c r="S12" s="277" t="s"/>
      <c r="T12" s="277" t="s"/>
      <c r="U12" s="277" t="s"/>
      <c r="V12" s="277" t="s"/>
      <c r="W12" s="277" t="s"/>
      <c r="X12" s="277" t="s"/>
      <c r="Y12" s="277" t="s"/>
      <c r="Z12" s="277" t="s"/>
    </row>
    <row r="13" spans="1:26" s="469" customFormat="true">
      <c r="A13" s="276" t="s"/>
      <c r="B13" s="276" t="s"/>
      <c r="C13" s="276" t="s"/>
      <c r="D13" s="54" t="s">
        <v>2819</v>
      </c>
      <c r="E13" s="54" t="s">
        <v>2820</v>
      </c>
      <c r="F13" s="52" t="s">
        <v>12</v>
      </c>
      <c r="G13" s="54" t="s">
        <v>13</v>
      </c>
      <c r="H13" s="54" t="s">
        <v>2821</v>
      </c>
      <c r="I13" s="54" t="s">
        <v>128</v>
      </c>
      <c r="J13" s="270" t="s"/>
      <c r="K13" s="270" t="s">
        <v>566</v>
      </c>
      <c r="L13" s="277" t="s"/>
      <c r="M13" s="277" t="s"/>
      <c r="N13" s="277" t="s"/>
      <c r="O13" s="277" t="s"/>
      <c r="P13" s="277" t="s"/>
      <c r="Q13" s="277" t="s"/>
      <c r="R13" s="277" t="s"/>
      <c r="S13" s="277" t="s"/>
      <c r="T13" s="277" t="s"/>
      <c r="U13" s="277" t="s"/>
      <c r="V13" s="277" t="s"/>
      <c r="W13" s="277" t="s"/>
      <c r="X13" s="277" t="s"/>
      <c r="Y13" s="277" t="s"/>
      <c r="Z13" s="277" t="s"/>
    </row>
    <row r="14" spans="1:26" s="467" customFormat="true">
      <c r="A14" s="276" t="s"/>
      <c r="B14" s="276" t="s"/>
      <c r="C14" s="276" t="s"/>
      <c r="D14" s="54" t="s">
        <v>2822</v>
      </c>
      <c r="E14" s="54" t="s">
        <v>2823</v>
      </c>
      <c r="F14" s="52" t="s">
        <v>12</v>
      </c>
      <c r="G14" s="54" t="s">
        <v>13</v>
      </c>
      <c r="H14" s="54" t="s"/>
      <c r="I14" s="54" t="s">
        <v>128</v>
      </c>
      <c r="J14" s="277" t="s"/>
      <c r="K14" s="270" t="s">
        <v>566</v>
      </c>
      <c r="L14" s="277" t="s"/>
      <c r="M14" s="277" t="s"/>
      <c r="N14" s="277" t="s"/>
      <c r="O14" s="277" t="s"/>
      <c r="P14" s="277" t="s"/>
      <c r="Q14" s="277" t="s"/>
      <c r="R14" s="277" t="s"/>
      <c r="S14" s="277" t="s"/>
      <c r="T14" s="277" t="s"/>
      <c r="U14" s="277" t="s"/>
      <c r="V14" s="277" t="s"/>
      <c r="W14" s="277" t="s"/>
      <c r="X14" s="277" t="s"/>
      <c r="Y14" s="277" t="s"/>
      <c r="Z14" s="277" t="s"/>
    </row>
    <row r="15" spans="1:26" s="467" customFormat="true">
      <c r="A15" s="276" t="s"/>
      <c r="B15" s="276" t="s"/>
      <c r="C15" s="276" t="s"/>
      <c r="D15" s="54" t="s">
        <v>2824</v>
      </c>
      <c r="E15" s="54" t="s">
        <v>2825</v>
      </c>
      <c r="F15" s="52" t="s">
        <v>12</v>
      </c>
      <c r="G15" s="54" t="s">
        <v>13</v>
      </c>
      <c r="H15" s="54" t="s">
        <v>2826</v>
      </c>
      <c r="I15" s="54" t="s">
        <v>128</v>
      </c>
      <c r="J15" s="277" t="s"/>
      <c r="K15" s="270" t="s">
        <v>566</v>
      </c>
      <c r="L15" s="277" t="s"/>
      <c r="M15" s="277" t="s"/>
      <c r="N15" s="277" t="s"/>
      <c r="O15" s="277" t="s"/>
      <c r="P15" s="277" t="s"/>
      <c r="Q15" s="277" t="s"/>
      <c r="R15" s="277" t="s"/>
      <c r="S15" s="277" t="s"/>
      <c r="T15" s="277" t="s"/>
      <c r="U15" s="277" t="s"/>
      <c r="V15" s="277" t="s"/>
      <c r="W15" s="277" t="s"/>
      <c r="X15" s="277" t="s"/>
      <c r="Y15" s="277" t="s"/>
      <c r="Z15" s="277" t="s"/>
    </row>
    <row r="16" spans="1:11">
      <c r="A16" s="47" t="s"/>
      <c r="B16" s="81" t="s"/>
      <c r="C16" s="47" t="s"/>
      <c r="D16" s="52" t="s">
        <v>28</v>
      </c>
      <c r="E16" s="52" t="s">
        <v>29</v>
      </c>
      <c r="F16" s="52" t="s">
        <v>1063</v>
      </c>
      <c r="G16" s="52" t="s">
        <v>13</v>
      </c>
      <c r="H16" s="54" t="s"/>
      <c r="I16" s="54" t="s">
        <v>128</v>
      </c>
      <c r="J16" s="277" t="s"/>
      <c r="K16" s="404" t="s">
        <v>2827</v>
      </c>
    </row>
    <row r="17" spans="1:11">
      <c r="A17" s="47" t="s"/>
      <c r="B17" s="81" t="s"/>
      <c r="C17" s="47" t="s"/>
      <c r="D17" s="52" t="s">
        <v>2828</v>
      </c>
      <c r="E17" s="52" t="s">
        <v>604</v>
      </c>
      <c r="F17" s="52" t="s">
        <v>1063</v>
      </c>
      <c r="G17" s="52" t="s">
        <v>13</v>
      </c>
      <c r="H17" s="54" t="s"/>
      <c r="I17" s="54" t="s">
        <v>128</v>
      </c>
      <c r="J17" s="277" t="s"/>
      <c r="K17" s="404" t="s">
        <v>2827</v>
      </c>
    </row>
    <row r="18" spans="1:11">
      <c r="A18" s="47" t="s"/>
      <c r="B18" s="81" t="s"/>
      <c r="C18" s="47" t="s"/>
      <c r="D18" s="52" t="s">
        <v>1073</v>
      </c>
      <c r="E18" s="52" t="s">
        <v>1074</v>
      </c>
      <c r="F18" s="52" t="s">
        <v>1063</v>
      </c>
      <c r="G18" s="52" t="s">
        <v>13</v>
      </c>
      <c r="H18" s="54" t="s"/>
      <c r="I18" s="54" t="s">
        <v>128</v>
      </c>
      <c r="J18" s="277" t="s"/>
      <c r="K18" s="404" t="s">
        <v>1068</v>
      </c>
    </row>
    <row r="19" spans="1:11">
      <c r="A19" s="47" t="s"/>
      <c r="B19" s="81" t="s"/>
      <c r="C19" s="47" t="s"/>
      <c r="D19" s="52" t="s">
        <v>2829</v>
      </c>
      <c r="E19" s="52" t="s">
        <v>2830</v>
      </c>
      <c r="F19" s="52" t="s">
        <v>258</v>
      </c>
      <c r="G19" s="52" t="s">
        <v>13</v>
      </c>
      <c r="H19" s="54" t="s"/>
      <c r="I19" s="54" t="s">
        <v>128</v>
      </c>
      <c r="J19" s="277" t="s"/>
      <c r="K19" s="404" t="s">
        <v>1068</v>
      </c>
    </row>
    <row r="20" spans="1:26" s="407" customFormat="true">
      <c r="A20" s="405" t="s"/>
      <c r="B20" s="405" t="s"/>
      <c r="C20" s="405" t="s"/>
      <c r="D20" s="405" t="s">
        <v>2831</v>
      </c>
      <c r="E20" s="405" t="s">
        <v>2832</v>
      </c>
      <c r="F20" s="406" t="s">
        <v>1063</v>
      </c>
      <c r="G20" s="406" t="s">
        <v>13</v>
      </c>
      <c r="H20" s="273" t="s"/>
      <c r="I20" s="273" t="s">
        <v>128</v>
      </c>
      <c r="J20" s="407" t="s"/>
      <c r="K20" s="408" t="s">
        <v>2833</v>
      </c>
      <c r="L20" s="407" t="s"/>
      <c r="M20" s="407" t="s"/>
      <c r="N20" s="407" t="s"/>
      <c r="O20" s="407" t="s"/>
      <c r="P20" s="407" t="s"/>
      <c r="Q20" s="407" t="s"/>
      <c r="R20" s="407" t="s"/>
      <c r="S20" s="407" t="s"/>
      <c r="T20" s="407" t="s"/>
      <c r="U20" s="407" t="s"/>
      <c r="V20" s="407" t="s"/>
      <c r="W20" s="407" t="s"/>
      <c r="X20" s="407" t="s"/>
      <c r="Y20" s="407" t="s"/>
      <c r="Z20" s="407" t="s"/>
    </row>
    <row r="21" spans="1:26" s="470" customFormat="true">
      <c r="A21" s="198" t="s"/>
      <c r="B21" s="409" t="s"/>
      <c r="C21" s="198" t="s"/>
      <c r="D21" s="406" t="s">
        <v>2834</v>
      </c>
      <c r="E21" s="406" t="s">
        <v>2834</v>
      </c>
      <c r="F21" s="406" t="s">
        <v>1063</v>
      </c>
      <c r="G21" s="406" t="s">
        <v>13</v>
      </c>
      <c r="H21" s="273" t="s"/>
      <c r="I21" s="273" t="s">
        <v>128</v>
      </c>
      <c r="J21" s="274" t="s"/>
      <c r="K21" s="410" t="s">
        <v>2835</v>
      </c>
      <c r="L21" s="200" t="s"/>
      <c r="M21" s="200" t="s"/>
      <c r="N21" s="200" t="s"/>
      <c r="O21" s="200" t="s"/>
      <c r="P21" s="200" t="s"/>
      <c r="Q21" s="200" t="s"/>
      <c r="R21" s="200" t="s"/>
      <c r="S21" s="200" t="s"/>
      <c r="T21" s="200" t="s"/>
      <c r="U21" s="200" t="s"/>
      <c r="V21" s="200" t="s"/>
      <c r="W21" s="200" t="s"/>
      <c r="X21" s="200" t="s"/>
      <c r="Y21" s="200" t="s"/>
      <c r="Z21" s="200" t="s"/>
    </row>
    <row r="22" spans="1:11">
      <c r="A22" s="47" t="s"/>
      <c r="B22" s="81" t="s"/>
      <c r="C22" s="47" t="s"/>
      <c r="D22" s="52" t="s">
        <v>2836</v>
      </c>
      <c r="E22" s="52" t="s">
        <v>2837</v>
      </c>
      <c r="F22" s="52" t="s">
        <v>1063</v>
      </c>
      <c r="G22" s="52" t="s">
        <v>13</v>
      </c>
      <c r="H22" s="54" t="s"/>
      <c r="I22" s="54" t="s">
        <v>128</v>
      </c>
      <c r="J22" s="277" t="s"/>
      <c r="K22" s="404" t="s">
        <v>1068</v>
      </c>
    </row>
    <row r="23" spans="1:11">
      <c r="A23" s="47" t="s"/>
      <c r="B23" s="81" t="s"/>
      <c r="C23" s="47" t="s"/>
      <c r="D23" s="52" t="s">
        <v>2838</v>
      </c>
      <c r="E23" s="52" t="s">
        <v>2839</v>
      </c>
      <c r="F23" s="52" t="s">
        <v>1063</v>
      </c>
      <c r="G23" s="52" t="s">
        <v>13</v>
      </c>
      <c r="H23" s="54" t="s"/>
      <c r="I23" s="54" t="s">
        <v>128</v>
      </c>
      <c r="J23" s="277" t="s"/>
      <c r="K23" s="404" t="s">
        <v>1068</v>
      </c>
    </row>
    <row r="24" spans="1:11">
      <c r="A24" s="47" t="s"/>
      <c r="B24" s="81" t="s"/>
      <c r="C24" s="47" t="s"/>
      <c r="D24" s="52" t="s">
        <v>2840</v>
      </c>
      <c r="E24" s="52" t="s">
        <v>2841</v>
      </c>
      <c r="F24" s="52" t="s">
        <v>1063</v>
      </c>
      <c r="G24" s="52" t="s">
        <v>13</v>
      </c>
      <c r="H24" s="54" t="s"/>
      <c r="I24" s="54" t="s">
        <v>128</v>
      </c>
      <c r="J24" s="277" t="s"/>
      <c r="K24" s="404" t="s">
        <v>2827</v>
      </c>
    </row>
    <row r="25" spans="1:11">
      <c r="A25" s="47" t="s"/>
      <c r="B25" s="81" t="s"/>
      <c r="C25" s="47" t="s"/>
      <c r="D25" s="52" t="s">
        <v>2842</v>
      </c>
      <c r="E25" s="52" t="s">
        <v>2843</v>
      </c>
      <c r="F25" s="52" t="s">
        <v>1063</v>
      </c>
      <c r="G25" s="52" t="s">
        <v>13</v>
      </c>
      <c r="H25" s="54" t="s"/>
      <c r="I25" s="54" t="s">
        <v>128</v>
      </c>
      <c r="J25" s="277" t="s"/>
      <c r="K25" s="404" t="s">
        <v>1068</v>
      </c>
    </row>
    <row r="26" spans="1:11">
      <c r="A26" s="47" t="s"/>
      <c r="B26" s="81" t="s"/>
      <c r="C26" s="47" t="s"/>
      <c r="D26" s="52" t="s">
        <v>2844</v>
      </c>
      <c r="E26" s="52" t="s">
        <v>2845</v>
      </c>
      <c r="F26" s="52" t="s">
        <v>1063</v>
      </c>
      <c r="G26" s="52" t="s">
        <v>13</v>
      </c>
      <c r="H26" s="54" t="s"/>
      <c r="I26" s="54" t="s">
        <v>128</v>
      </c>
      <c r="J26" s="277" t="s"/>
      <c r="K26" s="404" t="s">
        <v>1068</v>
      </c>
    </row>
    <row r="27" spans="1:26" s="407" customFormat="true">
      <c r="A27" s="405" t="s"/>
      <c r="B27" s="405" t="s"/>
      <c r="C27" s="405" t="s"/>
      <c r="D27" s="406" t="s">
        <v>2846</v>
      </c>
      <c r="E27" s="406" t="s">
        <v>2847</v>
      </c>
      <c r="F27" s="406" t="s">
        <v>1063</v>
      </c>
      <c r="G27" s="406" t="s">
        <v>13</v>
      </c>
      <c r="H27" s="273" t="s"/>
      <c r="I27" s="273" t="s">
        <v>128</v>
      </c>
      <c r="J27" s="411" t="s"/>
      <c r="K27" s="410" t="s">
        <v>2848</v>
      </c>
      <c r="L27" s="407" t="s"/>
      <c r="M27" s="407" t="s"/>
      <c r="N27" s="407" t="s"/>
      <c r="O27" s="407" t="s"/>
      <c r="P27" s="407" t="s"/>
      <c r="Q27" s="407" t="s"/>
      <c r="R27" s="407" t="s"/>
      <c r="S27" s="407" t="s"/>
      <c r="T27" s="407" t="s"/>
      <c r="U27" s="407" t="s"/>
      <c r="V27" s="407" t="s"/>
      <c r="W27" s="407" t="s"/>
      <c r="X27" s="407" t="s"/>
      <c r="Y27" s="407" t="s"/>
      <c r="Z27" s="407" t="s"/>
    </row>
    <row r="28" spans="1:11">
      <c r="A28" s="47" t="s"/>
      <c r="B28" s="81" t="s"/>
      <c r="C28" s="47" t="s"/>
      <c r="D28" s="81" t="s">
        <v>323</v>
      </c>
      <c r="E28" s="47" t="s">
        <v>324</v>
      </c>
      <c r="F28" s="81" t="s">
        <v>12</v>
      </c>
      <c r="G28" s="48" t="s">
        <v>13</v>
      </c>
      <c r="H28" s="48" t="s">
        <v>131</v>
      </c>
      <c r="I28" s="48" t="s">
        <v>128</v>
      </c>
      <c r="J28" s="31" t="s"/>
      <c r="K28" s="31" t="s"/>
    </row>
    <row r="29" spans="1:9">
      <c r="A29" s="47" t="s"/>
      <c r="B29" s="81" t="s"/>
      <c r="C29" s="47" t="s"/>
      <c r="D29" s="81" t="s"/>
      <c r="E29" s="47" t="s"/>
      <c r="F29" s="81" t="s"/>
      <c r="G29" s="48" t="s"/>
      <c r="H29" s="48" t="s"/>
      <c r="I29" s="48" t="s"/>
    </row>
    <row r="30" spans="1:9">
      <c r="A30" s="47" t="s"/>
      <c r="B30" s="81" t="s"/>
      <c r="C30" s="47" t="s"/>
      <c r="D30" s="81" t="s"/>
      <c r="E30" s="47" t="s"/>
      <c r="F30" s="81" t="s"/>
      <c r="G30" s="48" t="s"/>
      <c r="H30" s="48" t="s"/>
      <c r="I30" s="48" t="s"/>
    </row>
    <row r="31" spans="1:11">
      <c r="A31" s="47" t="s"/>
      <c r="B31" s="81" t="s"/>
      <c r="C31" s="47" t="s"/>
      <c r="D31" s="81" t="s">
        <v>2799</v>
      </c>
      <c r="E31" s="47" t="s">
        <v>2799</v>
      </c>
      <c r="F31" s="81" t="s">
        <v>12</v>
      </c>
      <c r="G31" s="87" t="s">
        <v>19</v>
      </c>
      <c r="H31" s="48" t="s"/>
      <c r="I31" s="89" t="s">
        <v>133</v>
      </c>
      <c r="K31" s="398">
        <v>0.6</v>
      </c>
    </row>
    <row r="32" spans="1:11">
      <c r="A32" s="47" t="s"/>
      <c r="B32" s="81" t="s"/>
      <c r="C32" s="47" t="s"/>
      <c r="D32" s="81" t="s">
        <v>22</v>
      </c>
      <c r="E32" s="90" t="s">
        <v>23</v>
      </c>
      <c r="F32" s="81" t="s">
        <v>24</v>
      </c>
      <c r="G32" s="87" t="s">
        <v>19</v>
      </c>
      <c r="H32" s="48" t="s"/>
      <c r="I32" s="89" t="s">
        <v>133</v>
      </c>
      <c r="K32" s="398">
        <v>0.6</v>
      </c>
    </row>
    <row r="33" spans="1:11">
      <c r="A33" s="47" t="s"/>
      <c r="B33" s="81" t="s"/>
      <c r="C33" s="47" t="s"/>
      <c r="D33" s="81" t="s">
        <v>2729</v>
      </c>
      <c r="E33" s="47" t="s">
        <v>420</v>
      </c>
      <c r="F33" s="81" t="s">
        <v>12</v>
      </c>
      <c r="G33" s="87" t="s">
        <v>19</v>
      </c>
      <c r="H33" s="48" t="s"/>
      <c r="I33" s="89" t="s">
        <v>133</v>
      </c>
      <c r="K33" s="398">
        <v>0.6</v>
      </c>
    </row>
    <row r="34" spans="1:11">
      <c r="A34" s="47" t="s"/>
      <c r="B34" s="81" t="s"/>
      <c r="C34" s="47" t="s"/>
      <c r="D34" s="81" t="s">
        <v>2849</v>
      </c>
      <c r="E34" s="90" t="s">
        <v>2850</v>
      </c>
      <c r="F34" s="81" t="s">
        <v>258</v>
      </c>
      <c r="G34" s="87" t="s">
        <v>19</v>
      </c>
      <c r="H34" s="48" t="s"/>
      <c r="I34" s="89" t="s">
        <v>133</v>
      </c>
      <c r="K34" s="398">
        <v>0.6</v>
      </c>
    </row>
    <row r="35" spans="1:11">
      <c r="A35" s="47" t="s"/>
      <c r="B35" s="81" t="s"/>
      <c r="C35" s="47" t="s"/>
      <c r="D35" s="81" t="s">
        <v>2851</v>
      </c>
      <c r="E35" s="47" t="s">
        <v>2852</v>
      </c>
      <c r="F35" s="81" t="s">
        <v>258</v>
      </c>
      <c r="G35" s="87" t="s">
        <v>19</v>
      </c>
      <c r="H35" s="48" t="s"/>
      <c r="I35" s="89" t="s">
        <v>133</v>
      </c>
      <c r="K35" s="398">
        <v>0.6</v>
      </c>
    </row>
    <row r="36" spans="1:11">
      <c r="A36" s="47" t="s"/>
      <c r="B36" s="81" t="s"/>
      <c r="C36" s="47" t="s"/>
      <c r="D36" s="81" t="s">
        <v>2853</v>
      </c>
      <c r="E36" s="47" t="s">
        <v>2854</v>
      </c>
      <c r="F36" s="81" t="s">
        <v>258</v>
      </c>
      <c r="G36" s="87" t="s">
        <v>19</v>
      </c>
      <c r="H36" s="48" t="s"/>
      <c r="I36" s="89" t="s">
        <v>133</v>
      </c>
      <c r="K36" s="398">
        <v>0.6</v>
      </c>
    </row>
    <row r="37" spans="1:11">
      <c r="A37" s="90" t="s">
        <v>2855</v>
      </c>
      <c r="B37" s="81" t="s">
        <v>2856</v>
      </c>
      <c r="C37" s="47" t="s"/>
      <c r="D37" s="81" t="s">
        <v>2857</v>
      </c>
      <c r="E37" s="47" t="s">
        <v>2858</v>
      </c>
      <c r="F37" s="81" t="s">
        <v>258</v>
      </c>
      <c r="G37" s="87" t="s">
        <v>19</v>
      </c>
      <c r="H37" s="48" t="s"/>
      <c r="I37" s="89" t="s">
        <v>133</v>
      </c>
      <c r="K37" s="398">
        <v>0.6</v>
      </c>
    </row>
    <row r="38" spans="1:11">
      <c r="A38" s="90" t="s">
        <v>2855</v>
      </c>
      <c r="B38" s="81" t="s">
        <v>2856</v>
      </c>
      <c r="C38" s="47" t="s"/>
      <c r="D38" s="81" t="s">
        <v>2859</v>
      </c>
      <c r="E38" s="47" t="s">
        <v>2860</v>
      </c>
      <c r="F38" s="81" t="s">
        <v>258</v>
      </c>
      <c r="G38" s="87" t="s">
        <v>19</v>
      </c>
      <c r="H38" s="48" t="s"/>
      <c r="I38" s="89" t="s">
        <v>133</v>
      </c>
      <c r="K38" s="398">
        <v>0.6</v>
      </c>
    </row>
    <row r="39" spans="1:11">
      <c r="A39" s="90" t="s">
        <v>2855</v>
      </c>
      <c r="B39" s="81" t="s">
        <v>2856</v>
      </c>
      <c r="C39" s="47" t="s"/>
      <c r="D39" s="81" t="s">
        <v>2861</v>
      </c>
      <c r="E39" s="47" t="s">
        <v>2862</v>
      </c>
      <c r="F39" s="81" t="s">
        <v>258</v>
      </c>
      <c r="G39" s="87" t="s">
        <v>19</v>
      </c>
      <c r="H39" s="48" t="s"/>
      <c r="I39" s="89" t="s">
        <v>133</v>
      </c>
      <c r="K39" s="398">
        <v>0.6</v>
      </c>
    </row>
    <row r="40" spans="1:11">
      <c r="A40" s="90" t="s">
        <v>2855</v>
      </c>
      <c r="B40" s="81" t="s">
        <v>2856</v>
      </c>
      <c r="C40" s="47" t="s"/>
      <c r="D40" s="81" t="s">
        <v>2863</v>
      </c>
      <c r="E40" s="47" t="s">
        <v>2864</v>
      </c>
      <c r="F40" s="81" t="s">
        <v>258</v>
      </c>
      <c r="G40" s="87" t="s">
        <v>19</v>
      </c>
      <c r="H40" s="48" t="s"/>
      <c r="I40" s="412" t="s">
        <v>133</v>
      </c>
      <c r="K40" s="398">
        <v>0.6</v>
      </c>
    </row>
    <row r="41" spans="1:11">
      <c r="A41" s="413" t="s">
        <v>2855</v>
      </c>
      <c r="B41" s="414" t="s">
        <v>509</v>
      </c>
      <c r="C41" s="47" t="s"/>
      <c r="D41" s="81" t="s">
        <v>117</v>
      </c>
      <c r="E41" s="47" t="s">
        <v>118</v>
      </c>
      <c r="F41" s="81" t="s">
        <v>119</v>
      </c>
      <c r="G41" s="87" t="s">
        <v>19</v>
      </c>
      <c r="H41" s="48" t="s"/>
      <c r="I41" s="89" t="s">
        <v>133</v>
      </c>
      <c r="K41" s="398">
        <v>0.6</v>
      </c>
    </row>
    <row r="42" spans="1:26" s="471" customFormat="true">
      <c r="A42" s="48" t="s"/>
      <c r="B42" s="48" t="s"/>
      <c r="C42" s="415" t="s">
        <v>2865</v>
      </c>
      <c r="D42" s="47" t="s">
        <v>2866</v>
      </c>
      <c r="E42" s="47" t="s">
        <v>2867</v>
      </c>
      <c r="F42" s="47" t="s">
        <v>1127</v>
      </c>
      <c r="G42" s="47" t="s">
        <v>19</v>
      </c>
      <c r="H42" s="48" t="s"/>
      <c r="I42" s="89" t="s">
        <v>133</v>
      </c>
      <c r="J42" s="31" t="s"/>
      <c r="K42" s="14" t="s">
        <v>1068</v>
      </c>
      <c r="L42" s="31" t="s"/>
      <c r="M42" s="31" t="s"/>
      <c r="N42" s="31" t="s"/>
      <c r="O42" s="31" t="s"/>
      <c r="P42" s="31" t="s"/>
      <c r="Q42" s="31" t="s"/>
      <c r="R42" s="31" t="s"/>
      <c r="S42" s="31" t="s"/>
      <c r="T42" s="31" t="s"/>
      <c r="U42" s="31" t="s"/>
      <c r="V42" s="31" t="s"/>
      <c r="W42" s="31" t="s"/>
      <c r="X42" s="31" t="s"/>
      <c r="Y42" s="31" t="s"/>
      <c r="Z42" s="31" t="s"/>
    </row>
    <row r="43" spans="1:11">
      <c r="A43" s="48" t="s"/>
      <c r="B43" s="48" t="s"/>
      <c r="C43" s="415" t="s">
        <v>2865</v>
      </c>
      <c r="D43" s="47" t="s">
        <v>2868</v>
      </c>
      <c r="E43" s="47" t="s">
        <v>2869</v>
      </c>
      <c r="F43" s="47" t="s">
        <v>1127</v>
      </c>
      <c r="G43" s="47" t="s">
        <v>19</v>
      </c>
      <c r="H43" s="48" t="s"/>
      <c r="I43" s="89" t="s">
        <v>133</v>
      </c>
      <c r="J43" s="31" t="s"/>
      <c r="K43" s="14" t="s">
        <v>1068</v>
      </c>
    </row>
    <row r="44" spans="1:11">
      <c r="A44" s="48" t="s"/>
      <c r="B44" s="48" t="s"/>
      <c r="C44" s="415" t="s">
        <v>2870</v>
      </c>
      <c r="D44" s="47" t="s">
        <v>2871</v>
      </c>
      <c r="E44" s="47" t="s">
        <v>2872</v>
      </c>
      <c r="F44" s="47" t="s">
        <v>119</v>
      </c>
      <c r="G44" s="47" t="s">
        <v>19</v>
      </c>
      <c r="H44" s="48" t="s"/>
      <c r="I44" s="89" t="s">
        <v>133</v>
      </c>
      <c r="J44" s="31" t="s"/>
      <c r="K44" s="14" t="s">
        <v>2815</v>
      </c>
    </row>
    <row r="45" spans="1:11">
      <c r="A45" s="48" t="s"/>
      <c r="B45" s="48" t="s"/>
      <c r="C45" s="415" t="s">
        <v>2870</v>
      </c>
      <c r="D45" s="47" t="s">
        <v>2873</v>
      </c>
      <c r="E45" s="47" t="s">
        <v>2874</v>
      </c>
      <c r="F45" s="47" t="s">
        <v>99</v>
      </c>
      <c r="G45" s="47" t="s">
        <v>19</v>
      </c>
      <c r="H45" s="48" t="s"/>
      <c r="I45" s="89" t="s">
        <v>133</v>
      </c>
      <c r="J45" s="31" t="s"/>
      <c r="K45" s="14" t="s">
        <v>2815</v>
      </c>
    </row>
    <row r="46" spans="1:11">
      <c r="A46" s="48" t="s"/>
      <c r="B46" s="48" t="s"/>
      <c r="C46" s="415" t="s">
        <v>2870</v>
      </c>
      <c r="D46" s="47" t="s">
        <v>2875</v>
      </c>
      <c r="E46" s="47" t="s">
        <v>2876</v>
      </c>
      <c r="F46" s="47" t="s">
        <v>99</v>
      </c>
      <c r="G46" s="47" t="s">
        <v>19</v>
      </c>
      <c r="H46" s="48" t="s"/>
      <c r="I46" s="89" t="s">
        <v>133</v>
      </c>
      <c r="J46" s="31" t="s"/>
      <c r="K46" s="14" t="s">
        <v>2815</v>
      </c>
    </row>
    <row r="47" spans="1:11">
      <c r="A47" s="48" t="s"/>
      <c r="B47" s="48" t="s"/>
      <c r="C47" s="415" t="s">
        <v>2870</v>
      </c>
      <c r="D47" s="47" t="s">
        <v>2877</v>
      </c>
      <c r="E47" s="47" t="s">
        <v>2878</v>
      </c>
      <c r="F47" s="47" t="s">
        <v>1063</v>
      </c>
      <c r="G47" s="47" t="s">
        <v>19</v>
      </c>
      <c r="H47" s="48" t="s"/>
      <c r="I47" s="89" t="s">
        <v>133</v>
      </c>
      <c r="J47" s="31" t="s"/>
      <c r="K47" s="14" t="s">
        <v>2815</v>
      </c>
    </row>
    <row r="48" spans="1:11">
      <c r="A48" s="48" t="s"/>
      <c r="B48" s="48" t="s"/>
      <c r="C48" s="415" t="s">
        <v>2870</v>
      </c>
      <c r="D48" s="47" t="s">
        <v>2879</v>
      </c>
      <c r="E48" s="47" t="s">
        <v>584</v>
      </c>
      <c r="F48" s="47" t="s">
        <v>119</v>
      </c>
      <c r="G48" s="47" t="s">
        <v>19</v>
      </c>
      <c r="H48" s="48" t="s"/>
      <c r="I48" s="89" t="s">
        <v>133</v>
      </c>
      <c r="J48" s="31" t="s"/>
      <c r="K48" s="14" t="s">
        <v>2815</v>
      </c>
    </row>
    <row r="49" spans="1:11">
      <c r="A49" s="48" t="s"/>
      <c r="B49" s="48" t="s"/>
      <c r="C49" s="415" t="s">
        <v>2870</v>
      </c>
      <c r="D49" s="47" t="s">
        <v>2880</v>
      </c>
      <c r="E49" s="47" t="s">
        <v>567</v>
      </c>
      <c r="F49" s="47" t="s">
        <v>1063</v>
      </c>
      <c r="G49" s="47" t="s">
        <v>19</v>
      </c>
      <c r="H49" s="48" t="s"/>
      <c r="I49" s="89" t="s">
        <v>133</v>
      </c>
      <c r="J49" s="31" t="s"/>
      <c r="K49" s="14" t="s">
        <v>2815</v>
      </c>
    </row>
    <row r="50" spans="1:11">
      <c r="A50" s="48" t="s"/>
      <c r="B50" s="48" t="s"/>
      <c r="C50" s="415" t="s">
        <v>2870</v>
      </c>
      <c r="D50" s="47" t="s">
        <v>2881</v>
      </c>
      <c r="E50" s="47" t="s">
        <v>587</v>
      </c>
      <c r="F50" s="47" t="s">
        <v>119</v>
      </c>
      <c r="G50" s="47" t="s">
        <v>19</v>
      </c>
      <c r="H50" s="48" t="s"/>
      <c r="I50" s="89" t="s">
        <v>133</v>
      </c>
      <c r="J50" s="31" t="s"/>
      <c r="K50" s="14" t="s">
        <v>2815</v>
      </c>
    </row>
    <row r="51" spans="1:11">
      <c r="A51" s="323" t="s"/>
      <c r="B51" s="323" t="s"/>
      <c r="C51" s="415" t="s">
        <v>2870</v>
      </c>
      <c r="D51" s="80" t="s">
        <v>2882</v>
      </c>
      <c r="E51" s="80" t="s">
        <v>590</v>
      </c>
      <c r="F51" s="47" t="s">
        <v>99</v>
      </c>
      <c r="G51" s="80" t="s">
        <v>19</v>
      </c>
      <c r="H51" s="323" t="s"/>
      <c r="I51" s="416" t="s">
        <v>133</v>
      </c>
      <c r="J51" s="31" t="s"/>
      <c r="K51" s="417" t="s">
        <v>2815</v>
      </c>
    </row>
    <row r="52" spans="1:11">
      <c r="A52" s="323" t="s"/>
      <c r="B52" s="323" t="s"/>
      <c r="C52" s="415" t="s">
        <v>2870</v>
      </c>
      <c r="D52" s="80" t="s">
        <v>2883</v>
      </c>
      <c r="E52" s="80" t="s">
        <v>593</v>
      </c>
      <c r="F52" s="47" t="s">
        <v>119</v>
      </c>
      <c r="G52" s="80" t="s">
        <v>19</v>
      </c>
      <c r="H52" s="323" t="s"/>
      <c r="I52" s="416" t="s">
        <v>133</v>
      </c>
      <c r="J52" s="31" t="s"/>
      <c r="K52" s="417" t="s">
        <v>2815</v>
      </c>
    </row>
    <row r="53" spans="1:11">
      <c r="A53" s="48" t="s"/>
      <c r="B53" s="48" t="s"/>
      <c r="C53" s="415" t="s">
        <v>2870</v>
      </c>
      <c r="D53" s="47" t="s">
        <v>2884</v>
      </c>
      <c r="E53" s="47" t="s">
        <v>578</v>
      </c>
      <c r="F53" s="47" t="s">
        <v>1063</v>
      </c>
      <c r="G53" s="47" t="s">
        <v>19</v>
      </c>
      <c r="H53" s="48" t="s"/>
      <c r="I53" s="89" t="s">
        <v>133</v>
      </c>
      <c r="J53" s="31" t="s"/>
      <c r="K53" s="14" t="s">
        <v>2815</v>
      </c>
    </row>
    <row r="54" spans="1:11">
      <c r="A54" s="48" t="s"/>
      <c r="B54" s="48" t="s"/>
      <c r="C54" s="415" t="s">
        <v>2870</v>
      </c>
      <c r="D54" s="47" t="s">
        <v>2885</v>
      </c>
      <c r="E54" s="47" t="s">
        <v>575</v>
      </c>
      <c r="F54" s="47" t="s">
        <v>1063</v>
      </c>
      <c r="G54" s="47" t="s">
        <v>19</v>
      </c>
      <c r="H54" s="48" t="s"/>
      <c r="I54" s="89" t="s">
        <v>133</v>
      </c>
      <c r="J54" s="31" t="s"/>
      <c r="K54" s="417" t="s">
        <v>2815</v>
      </c>
    </row>
    <row r="55" spans="1:11">
      <c r="A55" s="323" t="s"/>
      <c r="B55" s="323" t="s"/>
      <c r="C55" s="415" t="s">
        <v>2870</v>
      </c>
      <c r="D55" s="80" t="s">
        <v>2886</v>
      </c>
      <c r="E55" s="80" t="s">
        <v>572</v>
      </c>
      <c r="F55" s="47" t="s">
        <v>1063</v>
      </c>
      <c r="G55" s="80" t="s">
        <v>19</v>
      </c>
      <c r="H55" s="323" t="s"/>
      <c r="I55" s="416" t="s">
        <v>133</v>
      </c>
      <c r="J55" s="31" t="s"/>
      <c r="K55" s="417" t="s">
        <v>566</v>
      </c>
    </row>
    <row r="56" spans="1:26" s="472" customFormat="true">
      <c r="A56" s="323" t="s"/>
      <c r="B56" s="323" t="s"/>
      <c r="C56" s="415" t="s">
        <v>2870</v>
      </c>
      <c r="D56" s="80" t="s">
        <v>2887</v>
      </c>
      <c r="E56" s="47" t="s">
        <v>581</v>
      </c>
      <c r="F56" s="47" t="s">
        <v>1063</v>
      </c>
      <c r="G56" s="80" t="s">
        <v>19</v>
      </c>
      <c r="H56" s="323" t="s"/>
      <c r="I56" s="416" t="s">
        <v>133</v>
      </c>
      <c r="J56" s="31" t="s"/>
      <c r="K56" s="417" t="s">
        <v>566</v>
      </c>
      <c r="L56" s="31" t="s"/>
      <c r="M56" s="31" t="s"/>
      <c r="N56" s="31" t="s"/>
      <c r="O56" s="31" t="s"/>
      <c r="P56" s="31" t="s"/>
      <c r="Q56" s="31" t="s"/>
      <c r="R56" s="31" t="s"/>
      <c r="S56" s="31" t="s"/>
      <c r="T56" s="31" t="s"/>
      <c r="U56" s="31" t="s"/>
      <c r="V56" s="31" t="s"/>
      <c r="W56" s="31" t="s"/>
      <c r="X56" s="31" t="s"/>
      <c r="Y56" s="31" t="s"/>
      <c r="Z56" s="31" t="s"/>
    </row>
    <row r="57" spans="1:26" s="472" customFormat="true">
      <c r="A57" s="48" t="s"/>
      <c r="B57" s="48" t="s"/>
      <c r="C57" s="415" t="s">
        <v>2870</v>
      </c>
      <c r="D57" s="47" t="s">
        <v>2888</v>
      </c>
      <c r="E57" s="80" t="s">
        <v>596</v>
      </c>
      <c r="F57" s="47" t="s">
        <v>1063</v>
      </c>
      <c r="G57" s="80" t="s">
        <v>19</v>
      </c>
      <c r="H57" s="323" t="s"/>
      <c r="I57" s="416" t="s">
        <v>133</v>
      </c>
      <c r="J57" s="31" t="s"/>
      <c r="K57" s="417" t="s">
        <v>566</v>
      </c>
      <c r="L57" s="31" t="s"/>
      <c r="M57" s="31" t="s"/>
      <c r="N57" s="31" t="s"/>
      <c r="O57" s="31" t="s"/>
      <c r="P57" s="31" t="s"/>
      <c r="Q57" s="31" t="s"/>
      <c r="R57" s="31" t="s"/>
      <c r="S57" s="31" t="s"/>
      <c r="T57" s="31" t="s"/>
      <c r="U57" s="31" t="s"/>
      <c r="V57" s="31" t="s"/>
      <c r="W57" s="31" t="s"/>
      <c r="X57" s="31" t="s"/>
      <c r="Y57" s="31" t="s"/>
      <c r="Z57" s="31" t="s"/>
    </row>
    <row r="58" spans="1:11">
      <c r="A58" s="48" t="s"/>
      <c r="B58" s="48" t="s"/>
      <c r="C58" s="415" t="s">
        <v>2889</v>
      </c>
      <c r="D58" s="47" t="s">
        <v>2890</v>
      </c>
      <c r="E58" s="47" t="s">
        <v>2891</v>
      </c>
      <c r="F58" s="47" t="s">
        <v>99</v>
      </c>
      <c r="G58" s="47" t="s">
        <v>19</v>
      </c>
      <c r="H58" s="48" t="s"/>
      <c r="I58" s="89" t="s">
        <v>133</v>
      </c>
      <c r="J58" s="31" t="s"/>
      <c r="K58" s="14" t="s">
        <v>1068</v>
      </c>
    </row>
    <row r="59" spans="1:11">
      <c r="A59" s="48" t="s"/>
      <c r="B59" s="48" t="s"/>
      <c r="C59" s="415" t="s">
        <v>2889</v>
      </c>
      <c r="D59" s="47" t="s">
        <v>2892</v>
      </c>
      <c r="E59" s="47" t="s">
        <v>2893</v>
      </c>
      <c r="F59" s="47" t="s">
        <v>99</v>
      </c>
      <c r="G59" s="47" t="s">
        <v>19</v>
      </c>
      <c r="H59" s="48" t="s"/>
      <c r="I59" s="89" t="s">
        <v>133</v>
      </c>
      <c r="J59" s="31" t="s"/>
      <c r="K59" s="14" t="s">
        <v>1068</v>
      </c>
    </row>
    <row r="60" spans="1:11">
      <c r="A60" s="48" t="s"/>
      <c r="B60" s="48" t="s"/>
      <c r="C60" s="415" t="s">
        <v>2889</v>
      </c>
      <c r="D60" s="47" t="s">
        <v>2894</v>
      </c>
      <c r="E60" s="47" t="s">
        <v>2895</v>
      </c>
      <c r="F60" s="47" t="s">
        <v>258</v>
      </c>
      <c r="G60" s="47" t="s">
        <v>19</v>
      </c>
      <c r="H60" s="48" t="s"/>
      <c r="I60" s="89" t="s">
        <v>133</v>
      </c>
      <c r="J60" s="31" t="s"/>
      <c r="K60" s="14" t="s">
        <v>1068</v>
      </c>
    </row>
    <row r="61" spans="1:11">
      <c r="A61" s="48" t="s"/>
      <c r="B61" s="48" t="s"/>
      <c r="C61" s="415" t="s">
        <v>2889</v>
      </c>
      <c r="D61" s="47" t="s">
        <v>2896</v>
      </c>
      <c r="E61" s="47" t="s">
        <v>2897</v>
      </c>
      <c r="F61" s="47" t="s">
        <v>258</v>
      </c>
      <c r="G61" s="47" t="s">
        <v>19</v>
      </c>
      <c r="H61" s="48" t="s"/>
      <c r="I61" s="89" t="s">
        <v>133</v>
      </c>
      <c r="J61" s="31" t="s"/>
      <c r="K61" s="14" t="s">
        <v>1068</v>
      </c>
    </row>
    <row r="62" spans="1:11">
      <c r="A62" s="48" t="s"/>
      <c r="B62" s="48" t="s"/>
      <c r="C62" s="415" t="s">
        <v>2889</v>
      </c>
      <c r="D62" s="47" t="s">
        <v>2898</v>
      </c>
      <c r="E62" s="47" t="s">
        <v>2899</v>
      </c>
      <c r="F62" s="47" t="s">
        <v>99</v>
      </c>
      <c r="G62" s="47" t="s">
        <v>19</v>
      </c>
      <c r="H62" s="48" t="s"/>
      <c r="I62" s="89" t="s">
        <v>133</v>
      </c>
      <c r="J62" s="31" t="s"/>
      <c r="K62" s="14" t="s">
        <v>1068</v>
      </c>
    </row>
    <row r="63" spans="1:11">
      <c r="A63" s="48" t="s"/>
      <c r="B63" s="48" t="s"/>
      <c r="C63" s="415" t="s">
        <v>1101</v>
      </c>
      <c r="D63" s="47" t="s">
        <v>2900</v>
      </c>
      <c r="E63" s="47" t="s">
        <v>2901</v>
      </c>
      <c r="F63" s="47" t="s">
        <v>1162</v>
      </c>
      <c r="G63" s="47" t="s">
        <v>19</v>
      </c>
      <c r="H63" s="48" t="s"/>
      <c r="I63" s="89" t="s">
        <v>133</v>
      </c>
      <c r="J63" s="31" t="s"/>
      <c r="K63" s="14" t="s">
        <v>1068</v>
      </c>
    </row>
    <row r="64" spans="1:11">
      <c r="A64" s="48" t="s"/>
      <c r="B64" s="48" t="s"/>
      <c r="C64" s="415" t="s">
        <v>1101</v>
      </c>
      <c r="D64" s="47" t="s">
        <v>2902</v>
      </c>
      <c r="E64" s="47" t="s">
        <v>2903</v>
      </c>
      <c r="F64" s="47" t="s">
        <v>1162</v>
      </c>
      <c r="G64" s="47" t="s">
        <v>19</v>
      </c>
      <c r="H64" s="48" t="s"/>
      <c r="I64" s="89" t="s">
        <v>133</v>
      </c>
      <c r="J64" s="31" t="s"/>
      <c r="K64" s="14" t="s">
        <v>1068</v>
      </c>
    </row>
    <row r="65" spans="1:11">
      <c r="A65" s="48" t="s"/>
      <c r="B65" s="48" t="s"/>
      <c r="C65" s="415" t="s">
        <v>1101</v>
      </c>
      <c r="D65" s="47" t="s">
        <v>2904</v>
      </c>
      <c r="E65" s="47" t="s">
        <v>2905</v>
      </c>
      <c r="F65" s="47" t="s">
        <v>1063</v>
      </c>
      <c r="G65" s="47" t="s">
        <v>19</v>
      </c>
      <c r="H65" s="48" t="s"/>
      <c r="I65" s="89" t="s">
        <v>133</v>
      </c>
      <c r="J65" s="31" t="s"/>
      <c r="K65" s="14" t="s">
        <v>1068</v>
      </c>
    </row>
    <row r="66" spans="1:11">
      <c r="A66" s="48" t="s"/>
      <c r="B66" s="48" t="s"/>
      <c r="C66" s="415" t="s">
        <v>1101</v>
      </c>
      <c r="D66" s="47" t="s">
        <v>2906</v>
      </c>
      <c r="E66" s="47" t="s">
        <v>1141</v>
      </c>
      <c r="F66" s="47" t="s">
        <v>119</v>
      </c>
      <c r="G66" s="47" t="s">
        <v>19</v>
      </c>
      <c r="H66" s="48" t="s"/>
      <c r="I66" s="89" t="s">
        <v>133</v>
      </c>
      <c r="J66" s="31" t="s"/>
      <c r="K66" s="14" t="s">
        <v>1068</v>
      </c>
    </row>
  </sheetData>
</worksheet>
</file>

<file path=xl/worksheets/sheet5.xml><?xml version="1.0" encoding="utf-8"?>
<worksheet xmlns="http://schemas.openxmlformats.org/spreadsheetml/2006/main">
  <sheetPr codeName="defect">
    <tabColor/>
  </sheetPr>
  <dimension ref="E23"/>
  <sheetViews>
    <sheetView showGridLines="true" workbookViewId="0"/>
  </sheetViews>
  <sheetFormatPr baseColWidth="13" defaultRowHeight="18" customHeight="true"/>
  <cols>
    <col min="1" max="1" width="52.2031" customWidth="true"/>
    <col min="2" max="2" width="24.7617" customWidth="true"/>
    <col min="5" max="5" width="26.1641" customWidth="true"/>
    <col min="9" max="9" width="21.7109" customWidth="true"/>
  </cols>
  <sheetData>
    <row r="1" spans="1:9">
      <c r="A1" s="4" t="s">
        <v>1</v>
      </c>
      <c r="B1" s="4" t="s">
        <v>2</v>
      </c>
      <c r="C1" s="4" t="s">
        <v>202</v>
      </c>
      <c r="D1" s="4" t="s">
        <v>4</v>
      </c>
      <c r="E1" s="4" t="s">
        <v>5</v>
      </c>
      <c r="F1" s="4" t="s">
        <v>6</v>
      </c>
      <c r="G1" s="260" t="s">
        <v>7</v>
      </c>
      <c r="H1" s="4" t="s">
        <v>9</v>
      </c>
      <c r="I1" s="4" t="s">
        <v>8</v>
      </c>
    </row>
    <row r="2" spans="1:9">
      <c r="A2" s="106" t="s"/>
      <c r="B2" s="105" t="s"/>
      <c r="C2" s="106" t="s"/>
      <c r="D2" s="106" t="s">
        <v>1412</v>
      </c>
      <c r="E2" s="64" t="s">
        <v>1413</v>
      </c>
      <c r="F2" s="64" t="s">
        <v>12</v>
      </c>
      <c r="G2" s="261" t="s">
        <v>13</v>
      </c>
      <c r="H2" s="64" t="s"/>
      <c r="I2" s="46" t="s">
        <v>154</v>
      </c>
    </row>
    <row r="3" spans="1:10">
      <c r="A3" s="106" t="s">
        <v>1414</v>
      </c>
      <c r="B3" s="105" t="s">
        <v>71</v>
      </c>
      <c r="C3" s="106" t="s"/>
      <c r="D3" s="106" t="s">
        <v>73</v>
      </c>
      <c r="E3" s="106" t="s">
        <v>1415</v>
      </c>
      <c r="F3" s="105" t="s">
        <v>1416</v>
      </c>
      <c r="G3" s="261" t="s">
        <v>13</v>
      </c>
      <c r="H3" s="46" t="s"/>
      <c r="I3" s="46" t="s">
        <v>154</v>
      </c>
      <c r="J3" t="s">
        <f>=_xlfn.CONCAT(B3," AS ",E3,",")</f>
        <v>1417</v>
      </c>
    </row>
    <row r="4" spans="1:10">
      <c r="A4" s="46" t="s">
        <v>1414</v>
      </c>
      <c r="B4" s="44" t="s">
        <v>66</v>
      </c>
      <c r="C4" s="46" t="s"/>
      <c r="D4" s="46" t="s">
        <v>1418</v>
      </c>
      <c r="E4" s="46" t="s">
        <v>1419</v>
      </c>
      <c r="F4" s="44" t="s">
        <v>1420</v>
      </c>
      <c r="G4" s="262" t="s">
        <v>13</v>
      </c>
      <c r="H4" s="46" t="s"/>
      <c r="I4" s="46" t="s">
        <v>154</v>
      </c>
      <c r="J4" t="s">
        <f>=_xlfn.CONCAT(B4," AS ",E4,",")</f>
        <v>1421</v>
      </c>
    </row>
    <row r="5" spans="1:10">
      <c r="A5" s="46" t="s">
        <v>1414</v>
      </c>
      <c r="B5" s="44" t="s">
        <v>60</v>
      </c>
      <c r="C5" s="46" t="s"/>
      <c r="D5" s="46" t="s">
        <v>62</v>
      </c>
      <c r="E5" s="46" t="s">
        <v>1422</v>
      </c>
      <c r="F5" s="44" t="s">
        <v>1420</v>
      </c>
      <c r="G5" s="262" t="s">
        <v>13</v>
      </c>
      <c r="H5" s="46" t="s"/>
      <c r="I5" s="46" t="s">
        <v>154</v>
      </c>
      <c r="J5" t="s">
        <f>=_xlfn.CONCAT(B5," AS ",E5,",")</f>
        <v>1423</v>
      </c>
    </row>
    <row r="6" spans="1:10">
      <c r="A6" s="46" t="s">
        <v>1414</v>
      </c>
      <c r="B6" s="44" t="s">
        <v>1424</v>
      </c>
      <c r="C6" s="46" t="s"/>
      <c r="D6" s="46" t="s">
        <v>1425</v>
      </c>
      <c r="E6" s="46" t="s">
        <v>1426</v>
      </c>
      <c r="F6" s="44" t="s">
        <v>1420</v>
      </c>
      <c r="G6" s="262" t="s">
        <v>13</v>
      </c>
      <c r="H6" s="46" t="s"/>
      <c r="I6" s="46" t="s">
        <v>154</v>
      </c>
      <c r="J6" t="s">
        <f>=_xlfn.CONCAT(B6," AS ",E6,",")</f>
        <v>1427</v>
      </c>
    </row>
    <row r="7" spans="1:10">
      <c r="A7" s="46" t="s">
        <v>1414</v>
      </c>
      <c r="B7" s="44" t="s">
        <v>26</v>
      </c>
      <c r="C7" s="46" t="s"/>
      <c r="D7" s="46" t="s">
        <v>28</v>
      </c>
      <c r="E7" s="46" t="s">
        <v>29</v>
      </c>
      <c r="F7" s="263" t="s">
        <v>12</v>
      </c>
      <c r="G7" s="262" t="s">
        <v>13</v>
      </c>
      <c r="H7" s="46" t="s"/>
      <c r="I7" s="46" t="s">
        <v>154</v>
      </c>
      <c r="J7" t="s">
        <f>=_xlfn.CONCAT(B7," AS ",E7,",")</f>
        <v>1428</v>
      </c>
    </row>
    <row r="8" spans="1:10">
      <c r="A8" s="46" t="s">
        <v>1414</v>
      </c>
      <c r="B8" s="44" t="s">
        <v>1429</v>
      </c>
      <c r="C8" s="46" t="s"/>
      <c r="D8" s="46" t="s">
        <v>502</v>
      </c>
      <c r="E8" s="46" t="s">
        <v>1430</v>
      </c>
      <c r="F8" s="44" t="s">
        <v>119</v>
      </c>
      <c r="G8" s="262" t="s">
        <v>13</v>
      </c>
      <c r="H8" s="46" t="s"/>
      <c r="I8" s="46" t="s">
        <v>154</v>
      </c>
      <c r="J8" t="s">
        <f>=_xlfn.CONCAT(B8," AS ",E8,",")</f>
        <v>1431</v>
      </c>
    </row>
    <row r="9" spans="1:10">
      <c r="A9" s="46" t="s">
        <v>1414</v>
      </c>
      <c r="B9" s="44" t="s">
        <v>1432</v>
      </c>
      <c r="C9" s="46" t="s"/>
      <c r="D9" s="46" t="s">
        <v>9</v>
      </c>
      <c r="E9" s="46" t="s">
        <v>1433</v>
      </c>
      <c r="F9" s="44" t="s">
        <v>1229</v>
      </c>
      <c r="G9" s="262" t="s">
        <v>13</v>
      </c>
      <c r="H9" s="46" t="s"/>
      <c r="I9" s="46" t="s">
        <v>154</v>
      </c>
      <c r="J9" t="s">
        <f>=_xlfn.CONCAT(B9," AS ",E9,",")</f>
        <v>1434</v>
      </c>
    </row>
    <row r="10" spans="1:10">
      <c r="A10" s="46" t="s">
        <v>1414</v>
      </c>
      <c r="B10" s="44" t="s">
        <v>1435</v>
      </c>
      <c r="C10" s="46" t="s"/>
      <c r="D10" s="46" t="s">
        <v>1436</v>
      </c>
      <c r="E10" s="46" t="s">
        <v>1437</v>
      </c>
      <c r="F10" s="44" t="s">
        <v>1420</v>
      </c>
      <c r="G10" s="262" t="s">
        <v>13</v>
      </c>
      <c r="H10" s="46" t="s"/>
      <c r="I10" s="46" t="s">
        <v>154</v>
      </c>
      <c r="J10" t="s">
        <f>=_xlfn.CONCAT(B10," AS ",E10,",")</f>
        <v>1438</v>
      </c>
    </row>
    <row r="11" spans="1:10">
      <c r="A11" s="46" t="s">
        <v>1414</v>
      </c>
      <c r="B11" s="44" t="s">
        <v>1439</v>
      </c>
      <c r="C11" s="46" t="s"/>
      <c r="D11" s="46" t="s">
        <v>1440</v>
      </c>
      <c r="E11" s="46" t="s">
        <v>1441</v>
      </c>
      <c r="F11" s="44" t="s">
        <v>1420</v>
      </c>
      <c r="G11" s="262" t="s">
        <v>13</v>
      </c>
      <c r="H11" s="46" t="s"/>
      <c r="I11" s="46" t="s">
        <v>154</v>
      </c>
      <c r="J11" t="s">
        <f>=_xlfn.CONCAT(B11," AS ",E11,",")</f>
        <v>1442</v>
      </c>
    </row>
    <row r="12" spans="1:10">
      <c r="A12" s="46" t="s">
        <v>1414</v>
      </c>
      <c r="B12" s="44" t="s">
        <v>1443</v>
      </c>
      <c r="C12" s="46" t="s"/>
      <c r="D12" s="46" t="s">
        <v>1444</v>
      </c>
      <c r="E12" s="46" t="s">
        <v>1445</v>
      </c>
      <c r="F12" s="44" t="s">
        <v>1420</v>
      </c>
      <c r="G12" s="262" t="s">
        <v>13</v>
      </c>
      <c r="H12" s="46" t="s"/>
      <c r="I12" s="46" t="s">
        <v>154</v>
      </c>
      <c r="J12" t="s">
        <f>=_xlfn.CONCAT(B12," AS ",E12,",")</f>
        <v>1446</v>
      </c>
    </row>
    <row r="13" spans="1:10">
      <c r="A13" s="264" t="s">
        <v>1414</v>
      </c>
      <c r="B13" s="265" t="s">
        <v>1447</v>
      </c>
      <c r="C13" s="264" t="s"/>
      <c r="D13" s="264" t="s">
        <v>1448</v>
      </c>
      <c r="E13" s="264" t="s">
        <v>1449</v>
      </c>
      <c r="F13" s="265" t="s">
        <v>1420</v>
      </c>
      <c r="G13" s="262" t="s">
        <v>13</v>
      </c>
      <c r="H13" s="264" t="s"/>
      <c r="I13" s="264" t="s">
        <v>154</v>
      </c>
      <c r="J13" t="s">
        <f>=_xlfn.CONCAT(B13," AS ",E13,",")</f>
        <v>1450</v>
      </c>
    </row>
    <row r="14" spans="1:10">
      <c r="A14" s="46" t="s"/>
      <c r="B14" s="46" t="s"/>
      <c r="C14" s="46" t="s"/>
      <c r="D14" s="49" t="s">
        <v>323</v>
      </c>
      <c r="E14" s="46" t="s">
        <v>324</v>
      </c>
      <c r="F14" s="44" t="s">
        <v>12</v>
      </c>
      <c r="G14" s="266" t="s">
        <v>13</v>
      </c>
      <c r="H14" s="46" t="s">
        <v>158</v>
      </c>
      <c r="I14" s="46" t="s">
        <v>154</v>
      </c>
      <c r="J14" t="s">
        <f>=_xlfn.CONCAT(B14," AS ",E14,",")</f>
        <v>1451</v>
      </c>
    </row>
    <row r="15" spans="5:5">
      <c r="E15" s="267" t="s"/>
    </row>
    <row r="20" spans="1:26"/>
    <row r="21" spans="1:26"/>
    <row r="22" spans="1:26"/>
    <row r="23" spans="1:26"/>
  </sheetData>
  <conditionalFormatting sqref="E1:E210">
    <cfRule type="duplicateValues" dxfId="0" priority="1"/>
  </conditionalFormatting>
</worksheet>
</file>

<file path=xl/worksheets/sheet6.xml><?xml version="1.0" encoding="utf-8"?>
<worksheet xmlns="http://schemas.openxmlformats.org/spreadsheetml/2006/main">
  <sheetPr codeName="flow of product">
    <tabColor/>
  </sheetPr>
  <dimension ref="B20"/>
  <sheetViews>
    <sheetView showGridLines="true" workbookViewId="0"/>
  </sheetViews>
  <sheetFormatPr baseColWidth="13" defaultRowHeight="18" customHeight="true"/>
  <cols>
    <col min="1" max="1" width="34.6641" customWidth="true"/>
    <col min="2" max="2" width="28.0508" customWidth="true"/>
    <col min="3" max="3" width="20.6328" customWidth="true"/>
    <col min="4" max="5" width="22.2539" customWidth="true"/>
    <col min="8" max="8" width="25.082" customWidth="true"/>
    <col min="9" max="9" width="24.4141" customWidth="true"/>
  </cols>
  <sheetData>
    <row r="1" spans="1:9">
      <c r="A1" s="4" t="s">
        <v>1</v>
      </c>
      <c r="B1" s="4" t="s">
        <v>2</v>
      </c>
      <c r="C1" s="4" t="s">
        <v>202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9</v>
      </c>
      <c r="I1" s="4" t="s">
        <v>8</v>
      </c>
    </row>
    <row r="2" spans="1:9">
      <c r="A2" s="106" t="s"/>
      <c r="B2" s="105" t="s"/>
      <c r="C2" s="106" t="s"/>
      <c r="D2" s="106" t="s">
        <v>2134</v>
      </c>
      <c r="E2" s="46" t="s">
        <v>2135</v>
      </c>
      <c r="F2" s="46" t="s">
        <v>12</v>
      </c>
      <c r="G2" s="46" t="s">
        <v>13</v>
      </c>
      <c r="H2" s="46" t="s">
        <v>2136</v>
      </c>
      <c r="I2" s="46" t="s">
        <v>139</v>
      </c>
    </row>
    <row r="3" spans="1:10">
      <c r="A3" s="46" t="s">
        <v>1492</v>
      </c>
      <c r="B3" s="44" t="s">
        <v>41</v>
      </c>
      <c r="C3" s="44" t="s">
        <v>41</v>
      </c>
      <c r="D3" s="46" t="s">
        <v>2137</v>
      </c>
      <c r="E3" s="46" t="s">
        <v>44</v>
      </c>
      <c r="F3" s="44" t="s">
        <v>12</v>
      </c>
      <c r="G3" s="46" t="s">
        <v>13</v>
      </c>
      <c r="H3" s="46" t="s"/>
      <c r="I3" s="46" t="s">
        <v>139</v>
      </c>
      <c r="J3" t="s">
        <f>=_xlfn.CONCAT(B3," AS ",E3,",")</f>
        <v>1477</v>
      </c>
    </row>
    <row r="4" spans="1:10">
      <c r="A4" s="106" t="s">
        <v>1492</v>
      </c>
      <c r="B4" s="105" t="s">
        <v>26</v>
      </c>
      <c r="C4" s="105" t="s">
        <v>385</v>
      </c>
      <c r="D4" s="106" t="s">
        <v>28</v>
      </c>
      <c r="E4" s="106" t="s">
        <v>29</v>
      </c>
      <c r="F4" s="105" t="s">
        <v>12</v>
      </c>
      <c r="G4" s="46" t="s">
        <v>13</v>
      </c>
      <c r="H4" s="106" t="s"/>
      <c r="I4" s="46" t="s">
        <v>139</v>
      </c>
      <c r="J4" t="s">
        <f>=_xlfn.CONCAT(B4," AS ",E4,",")</f>
        <v>1428</v>
      </c>
    </row>
    <row r="5" spans="1:10">
      <c r="A5" s="46" t="s">
        <v>1492</v>
      </c>
      <c r="B5" s="44" t="s">
        <v>31</v>
      </c>
      <c r="C5" s="45" t="s"/>
      <c r="D5" s="46" t="s">
        <v>33</v>
      </c>
      <c r="E5" s="46" t="s">
        <v>34</v>
      </c>
      <c r="F5" s="44" t="s">
        <v>12</v>
      </c>
      <c r="G5" s="46" t="s">
        <v>13</v>
      </c>
      <c r="H5" s="46" t="s"/>
      <c r="I5" s="46" t="s">
        <v>139</v>
      </c>
      <c r="J5" t="s">
        <f>=_xlfn.CONCAT(B5," AS ",E5,",")</f>
        <v>1469</v>
      </c>
    </row>
    <row r="6" spans="1:10">
      <c r="A6" s="46" t="s">
        <v>1492</v>
      </c>
      <c r="B6" s="44" t="s">
        <v>36</v>
      </c>
      <c r="C6" s="44" t="s">
        <v>1470</v>
      </c>
      <c r="D6" s="46" t="s">
        <v>38</v>
      </c>
      <c r="E6" s="46" t="s">
        <v>39</v>
      </c>
      <c r="F6" s="44" t="s">
        <v>12</v>
      </c>
      <c r="G6" s="46" t="s">
        <v>13</v>
      </c>
      <c r="H6" s="46" t="s"/>
      <c r="I6" s="46" t="s">
        <v>139</v>
      </c>
      <c r="J6" t="s">
        <f>=_xlfn.CONCAT(B6," AS ",E6,",")</f>
        <v>1471</v>
      </c>
    </row>
    <row r="7" spans="1:10">
      <c r="A7" s="46" t="s">
        <v>1492</v>
      </c>
      <c r="B7" s="44" t="s">
        <v>1472</v>
      </c>
      <c r="C7" s="44" t="s">
        <v>1473</v>
      </c>
      <c r="D7" s="46" t="s">
        <v>1474</v>
      </c>
      <c r="E7" s="46" t="s">
        <v>1082</v>
      </c>
      <c r="F7" s="44" t="s">
        <v>12</v>
      </c>
      <c r="G7" s="46" t="s">
        <v>13</v>
      </c>
      <c r="H7" s="46" t="s"/>
      <c r="I7" s="46" t="s">
        <v>139</v>
      </c>
      <c r="J7" t="s">
        <f>=_xlfn.CONCAT(B7," AS ",E7,",")</f>
        <v>1475</v>
      </c>
    </row>
    <row r="8" spans="1:10">
      <c r="A8" s="46" t="s">
        <v>1492</v>
      </c>
      <c r="B8" s="44" t="s">
        <v>2138</v>
      </c>
      <c r="C8" s="44" t="s">
        <v>2139</v>
      </c>
      <c r="D8" s="46" t="s">
        <v>2140</v>
      </c>
      <c r="E8" s="46" t="s">
        <v>2141</v>
      </c>
      <c r="F8" s="44" t="s">
        <v>12</v>
      </c>
      <c r="G8" s="46" t="s">
        <v>13</v>
      </c>
      <c r="H8" s="46" t="s"/>
      <c r="I8" s="46" t="s">
        <v>139</v>
      </c>
      <c r="J8" t="s">
        <f>=_xlfn.CONCAT(B8," AS ",E8,",")</f>
        <v>2142</v>
      </c>
    </row>
    <row r="9" spans="1:10">
      <c r="A9" s="46" t="s">
        <v>1492</v>
      </c>
      <c r="B9" s="44" t="s">
        <v>431</v>
      </c>
      <c r="C9" s="45" t="s"/>
      <c r="D9" s="46" t="s">
        <v>284</v>
      </c>
      <c r="E9" s="46" t="s">
        <v>285</v>
      </c>
      <c r="F9" s="44" t="s">
        <v>12</v>
      </c>
      <c r="G9" s="46" t="s">
        <v>13</v>
      </c>
      <c r="H9" s="46" t="s"/>
      <c r="I9" s="46" t="s">
        <v>139</v>
      </c>
      <c r="J9" t="s">
        <f>=_xlfn.CONCAT(B9," AS ",E9,",")</f>
        <v>1851</v>
      </c>
    </row>
    <row r="10" spans="1:10">
      <c r="A10" s="46" t="s">
        <v>1492</v>
      </c>
      <c r="B10" s="44" t="s">
        <v>2143</v>
      </c>
      <c r="C10" s="45" t="s"/>
      <c r="D10" s="46" t="s">
        <v>2144</v>
      </c>
      <c r="E10" s="46" t="s">
        <v>2145</v>
      </c>
      <c r="F10" s="44" t="s">
        <v>12</v>
      </c>
      <c r="G10" s="46" t="s">
        <v>13</v>
      </c>
      <c r="H10" s="46" t="s"/>
      <c r="I10" s="46" t="s">
        <v>139</v>
      </c>
      <c r="J10" t="s">
        <f>=_xlfn.CONCAT(B10," AS ",E10,",")</f>
        <v>2146</v>
      </c>
    </row>
    <row r="11" spans="1:10">
      <c r="A11" s="46" t="s">
        <v>1492</v>
      </c>
      <c r="B11" s="44" t="s">
        <v>2147</v>
      </c>
      <c r="C11" s="45" t="s"/>
      <c r="D11" s="46" t="s">
        <v>2148</v>
      </c>
      <c r="E11" s="46" t="s">
        <v>2149</v>
      </c>
      <c r="F11" s="44" t="s">
        <v>12</v>
      </c>
      <c r="G11" s="46" t="s">
        <v>13</v>
      </c>
      <c r="H11" s="46" t="s"/>
      <c r="I11" s="46" t="s">
        <v>139</v>
      </c>
      <c r="J11" t="s">
        <f>=_xlfn.CONCAT(B11," AS ",E11,",")</f>
        <v>2150</v>
      </c>
    </row>
    <row r="12" spans="1:10">
      <c r="A12" s="46" t="s">
        <v>1492</v>
      </c>
      <c r="B12" s="44" t="s">
        <v>2151</v>
      </c>
      <c r="C12" s="45" t="s"/>
      <c r="D12" s="46" t="s">
        <v>2152</v>
      </c>
      <c r="E12" s="46" t="s">
        <v>2153</v>
      </c>
      <c r="F12" s="44" t="s">
        <v>12</v>
      </c>
      <c r="G12" s="46" t="s">
        <v>13</v>
      </c>
      <c r="H12" s="46" t="s"/>
      <c r="I12" s="46" t="s">
        <v>139</v>
      </c>
      <c r="J12" t="s">
        <f>=_xlfn.CONCAT(B12," AS ",E12,",")</f>
        <v>2154</v>
      </c>
    </row>
    <row r="13" spans="1:10">
      <c r="A13" s="46" t="s">
        <v>1492</v>
      </c>
      <c r="B13" s="44" t="s">
        <v>2155</v>
      </c>
      <c r="C13" s="45" t="s"/>
      <c r="D13" s="46" t="s">
        <v>2156</v>
      </c>
      <c r="E13" s="46" t="s">
        <v>2157</v>
      </c>
      <c r="F13" s="44" t="s">
        <v>12</v>
      </c>
      <c r="G13" s="46" t="s">
        <v>13</v>
      </c>
      <c r="H13" s="46" t="s"/>
      <c r="I13" s="46" t="s">
        <v>139</v>
      </c>
      <c r="J13" t="s">
        <f>=_xlfn.CONCAT(B13," AS ",E13,",")</f>
        <v>2158</v>
      </c>
    </row>
    <row r="14" spans="1:10">
      <c r="A14" s="46" t="s">
        <v>1492</v>
      </c>
      <c r="B14" s="44" t="s">
        <v>501</v>
      </c>
      <c r="C14" s="44" t="s">
        <v>502</v>
      </c>
      <c r="D14" s="46" t="s">
        <v>502</v>
      </c>
      <c r="E14" s="46" t="s">
        <v>1430</v>
      </c>
      <c r="F14" s="44" t="s">
        <v>119</v>
      </c>
      <c r="G14" s="46" t="s">
        <v>13</v>
      </c>
      <c r="H14" s="46" t="s"/>
      <c r="I14" s="46" t="s">
        <v>139</v>
      </c>
      <c r="J14" t="s">
        <f>=_xlfn.CONCAT(B14," AS ",E14,",")</f>
        <v>2159</v>
      </c>
    </row>
    <row r="15" spans="1:10">
      <c r="A15" s="46" t="s">
        <v>1492</v>
      </c>
      <c r="B15" s="44" t="s">
        <v>516</v>
      </c>
      <c r="C15" s="44" t="s">
        <v>2160</v>
      </c>
      <c r="D15" s="46" t="s">
        <v>2160</v>
      </c>
      <c r="E15" s="46" t="s">
        <v>518</v>
      </c>
      <c r="F15" s="44" t="s">
        <v>12</v>
      </c>
      <c r="G15" s="46" t="s">
        <v>13</v>
      </c>
      <c r="H15" s="46" t="s"/>
      <c r="I15" s="46" t="s">
        <v>139</v>
      </c>
      <c r="J15" t="s">
        <f>=_xlfn.CONCAT(B15," AS ",E15,",")</f>
        <v>2161</v>
      </c>
    </row>
    <row r="16" spans="1:10">
      <c r="A16" s="46" t="s">
        <v>1492</v>
      </c>
      <c r="B16" s="44" t="s">
        <v>2162</v>
      </c>
      <c r="C16" s="44" t="s">
        <v>2163</v>
      </c>
      <c r="D16" s="46" t="s">
        <v>2164</v>
      </c>
      <c r="E16" s="46" t="s">
        <v>2165</v>
      </c>
      <c r="F16" s="44" t="s">
        <v>12</v>
      </c>
      <c r="G16" s="46" t="s">
        <v>13</v>
      </c>
      <c r="H16" s="46" t="s"/>
      <c r="I16" s="46" t="s">
        <v>139</v>
      </c>
      <c r="J16" t="s">
        <f>=_xlfn.CONCAT(B16," AS ",E16,",")</f>
        <v>2166</v>
      </c>
    </row>
    <row r="17" spans="1:10">
      <c r="A17" s="264" t="s">
        <v>1492</v>
      </c>
      <c r="B17" s="265" t="s">
        <v>2167</v>
      </c>
      <c r="C17" s="265" t="s">
        <v>2168</v>
      </c>
      <c r="D17" s="264" t="s">
        <v>2169</v>
      </c>
      <c r="E17" s="46" t="s">
        <v>2170</v>
      </c>
      <c r="F17" s="44" t="s">
        <v>12</v>
      </c>
      <c r="G17" s="46" t="s">
        <v>13</v>
      </c>
      <c r="H17" s="46" t="s"/>
      <c r="I17" s="46" t="s">
        <v>139</v>
      </c>
      <c r="J17" t="s">
        <f>=_xlfn.CONCAT(B17," AS ",E17,",")</f>
        <v>2171</v>
      </c>
    </row>
    <row r="18" spans="1:9">
      <c r="A18" s="46" t="s"/>
      <c r="B18" s="46" t="s"/>
      <c r="C18" s="46" t="s"/>
      <c r="D18" s="49" t="s">
        <v>323</v>
      </c>
      <c r="E18" s="46" t="s">
        <v>324</v>
      </c>
      <c r="F18" s="44" t="s">
        <v>12</v>
      </c>
      <c r="G18" s="46" t="s">
        <v>13</v>
      </c>
      <c r="H18" s="46" t="s">
        <v>1700</v>
      </c>
      <c r="I18" s="46" t="s">
        <v>139</v>
      </c>
    </row>
    <row r="20" spans="2:2">
      <c r="B20" s="357" t="s"/>
    </row>
  </sheetData>
</worksheet>
</file>

<file path=xl/worksheets/sheet7.xml><?xml version="1.0" encoding="utf-8"?>
<worksheet xmlns="http://schemas.openxmlformats.org/spreadsheetml/2006/main">
  <sheetPr codeName="step of flow">
    <tabColor/>
  </sheetPr>
  <dimension ref="K31"/>
  <sheetViews>
    <sheetView showGridLines="true" workbookViewId="0"/>
  </sheetViews>
  <sheetFormatPr baseColWidth="13" defaultRowHeight="18" customHeight="true"/>
  <cols>
    <col min="1" max="1" width="40.1914" customWidth="true"/>
    <col min="2" max="2" width="19.2812" customWidth="true"/>
    <col min="3" max="3" width="12.543" customWidth="true"/>
    <col min="4" max="4" width="19.4219" customWidth="true"/>
    <col min="5" max="5" width="29.9414" customWidth="true"/>
    <col min="8" max="8" width="32.1016" customWidth="true"/>
    <col min="9" max="9" width="27.9219" customWidth="true"/>
    <col min="10" max="10" width="30.0938" customWidth="true"/>
    <col min="11" max="11" width="8.40234" customWidth="true"/>
  </cols>
  <sheetData>
    <row r="1" spans="1:11">
      <c r="A1" s="7" t="s">
        <v>1</v>
      </c>
      <c r="B1" s="7" t="s">
        <v>2</v>
      </c>
      <c r="C1" s="7" t="s">
        <v>202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9</v>
      </c>
      <c r="I1" s="4" t="s">
        <v>8</v>
      </c>
      <c r="J1" t="s">
        <v>9</v>
      </c>
      <c r="K1" t="s">
        <v>204</v>
      </c>
    </row>
    <row r="2" spans="1:9">
      <c r="A2" s="48" t="s"/>
      <c r="B2" s="90" t="s"/>
      <c r="C2" s="268" t="s"/>
      <c r="D2" s="90" t="s">
        <v>1452</v>
      </c>
      <c r="E2" s="47" t="s">
        <v>1453</v>
      </c>
      <c r="F2" s="90" t="s">
        <v>12</v>
      </c>
      <c r="G2" s="206" t="s">
        <v>13</v>
      </c>
      <c r="H2" s="47" t="s">
        <v>1454</v>
      </c>
      <c r="I2" s="46" t="s">
        <v>144</v>
      </c>
    </row>
    <row r="3" spans="1:10">
      <c r="A3" s="46" t="s">
        <v>1455</v>
      </c>
      <c r="B3" s="44" t="s">
        <v>404</v>
      </c>
      <c r="C3" s="44" t="s">
        <v>405</v>
      </c>
      <c r="D3" s="44" t="s">
        <v>1456</v>
      </c>
      <c r="E3" s="46" t="s">
        <v>289</v>
      </c>
      <c r="F3" s="44" t="s">
        <v>12</v>
      </c>
      <c r="G3" s="47" t="s">
        <v>13</v>
      </c>
      <c r="H3" s="46" t="s"/>
      <c r="I3" s="46" t="s">
        <v>144</v>
      </c>
      <c r="J3" t="s">
        <f>=_xlfn.CONCAT(B3," AS ",E3,",")</f>
        <v>1457</v>
      </c>
    </row>
    <row r="4" spans="1:10">
      <c r="A4" s="46" t="s">
        <v>1455</v>
      </c>
      <c r="B4" s="44" t="s">
        <v>1221</v>
      </c>
      <c r="C4" s="44" t="s">
        <v>1458</v>
      </c>
      <c r="D4" s="44" t="s">
        <v>1459</v>
      </c>
      <c r="E4" s="46" t="s">
        <v>1224</v>
      </c>
      <c r="F4" s="44" t="s">
        <v>12</v>
      </c>
      <c r="G4" s="47" t="s">
        <v>13</v>
      </c>
      <c r="H4" s="46" t="s"/>
      <c r="I4" s="46" t="s">
        <v>144</v>
      </c>
      <c r="J4" t="s">
        <f>=_xlfn.CONCAT(B4," AS ",E4,",")</f>
        <v>1460</v>
      </c>
    </row>
    <row r="5" spans="1:10">
      <c r="A5" s="46" t="s">
        <v>1455</v>
      </c>
      <c r="B5" s="44" t="s">
        <v>1227</v>
      </c>
      <c r="C5" s="44" t="s">
        <v>1461</v>
      </c>
      <c r="D5" s="44" t="s">
        <v>1096</v>
      </c>
      <c r="E5" s="46" t="s">
        <v>1228</v>
      </c>
      <c r="F5" s="44" t="s">
        <v>85</v>
      </c>
      <c r="G5" s="47" t="s">
        <v>13</v>
      </c>
      <c r="H5" s="46" t="s"/>
      <c r="I5" s="46" t="s">
        <v>144</v>
      </c>
      <c r="J5" t="s">
        <f>=_xlfn.CONCAT(B5," AS ",E5,",")</f>
        <v>1462</v>
      </c>
    </row>
    <row r="6" spans="1:10">
      <c r="A6" s="46" t="s">
        <v>1455</v>
      </c>
      <c r="B6" s="44" t="s">
        <v>1463</v>
      </c>
      <c r="C6" s="44" t="s">
        <v>1464</v>
      </c>
      <c r="D6" s="44" t="s">
        <v>1465</v>
      </c>
      <c r="E6" s="46" t="s">
        <v>1466</v>
      </c>
      <c r="F6" s="44" t="s">
        <v>12</v>
      </c>
      <c r="G6" s="47" t="s">
        <v>13</v>
      </c>
      <c r="H6" s="46" t="s"/>
      <c r="I6" s="46" t="s">
        <v>144</v>
      </c>
      <c r="J6" t="s">
        <f>=_xlfn.CONCAT(B6," AS ",E6,",")</f>
        <v>1467</v>
      </c>
    </row>
    <row r="7" spans="1:10">
      <c r="A7" s="46" t="s">
        <v>1455</v>
      </c>
      <c r="B7" s="44" t="s">
        <v>412</v>
      </c>
      <c r="C7" s="44" t="s">
        <v>413</v>
      </c>
      <c r="D7" s="44" t="s">
        <v>414</v>
      </c>
      <c r="E7" s="46" t="s">
        <v>415</v>
      </c>
      <c r="F7" s="44" t="s">
        <v>12</v>
      </c>
      <c r="G7" s="47" t="s">
        <v>13</v>
      </c>
      <c r="H7" s="46" t="s"/>
      <c r="I7" s="46" t="s">
        <v>144</v>
      </c>
      <c r="J7" t="s">
        <f>=_xlfn.CONCAT(B7," AS ",E7,",")</f>
        <v>1468</v>
      </c>
    </row>
    <row r="8" spans="1:10">
      <c r="A8" s="106" t="s">
        <v>1455</v>
      </c>
      <c r="B8" s="105" t="s">
        <v>26</v>
      </c>
      <c r="C8" s="105" t="s">
        <v>385</v>
      </c>
      <c r="D8" s="105" t="s">
        <v>28</v>
      </c>
      <c r="E8" s="106" t="s">
        <v>29</v>
      </c>
      <c r="F8" s="105" t="s">
        <v>12</v>
      </c>
      <c r="G8" s="47" t="s">
        <v>13</v>
      </c>
      <c r="H8" s="106" t="s"/>
      <c r="I8" s="46" t="s">
        <v>144</v>
      </c>
      <c r="J8" t="s">
        <f>=_xlfn.CONCAT(B8," AS ",E8,",")</f>
        <v>1428</v>
      </c>
    </row>
    <row r="9" spans="1:10">
      <c r="A9" s="46" t="s">
        <v>1455</v>
      </c>
      <c r="B9" s="44" t="s">
        <v>31</v>
      </c>
      <c r="C9" s="45" t="s"/>
      <c r="D9" s="45" t="s">
        <v>33</v>
      </c>
      <c r="E9" s="46" t="s">
        <v>34</v>
      </c>
      <c r="F9" s="44" t="s">
        <v>600</v>
      </c>
      <c r="G9" s="47" t="s">
        <v>13</v>
      </c>
      <c r="H9" s="46" t="s"/>
      <c r="I9" s="46" t="s">
        <v>144</v>
      </c>
      <c r="J9" t="s">
        <f>=_xlfn.CONCAT(B9," AS ",E9,",")</f>
        <v>1469</v>
      </c>
    </row>
    <row r="10" spans="1:10">
      <c r="A10" s="46" t="s">
        <v>1455</v>
      </c>
      <c r="B10" s="44" t="s">
        <v>36</v>
      </c>
      <c r="C10" s="44" t="s">
        <v>1470</v>
      </c>
      <c r="D10" s="44" t="s">
        <v>38</v>
      </c>
      <c r="E10" s="46" t="s">
        <v>39</v>
      </c>
      <c r="F10" s="44" t="s">
        <v>12</v>
      </c>
      <c r="G10" s="47" t="s">
        <v>13</v>
      </c>
      <c r="H10" s="46" t="s"/>
      <c r="I10" s="46" t="s">
        <v>144</v>
      </c>
      <c r="J10" t="s">
        <f>=_xlfn.CONCAT(B10," AS ",E10,",")</f>
        <v>1471</v>
      </c>
    </row>
    <row r="11" spans="1:10">
      <c r="A11" s="46" t="s">
        <v>1455</v>
      </c>
      <c r="B11" s="44" t="s">
        <v>1472</v>
      </c>
      <c r="C11" s="44" t="s">
        <v>1473</v>
      </c>
      <c r="D11" s="44" t="s">
        <v>1474</v>
      </c>
      <c r="E11" s="46" t="s">
        <v>1082</v>
      </c>
      <c r="F11" s="44" t="s">
        <v>12</v>
      </c>
      <c r="G11" s="47" t="s">
        <v>13</v>
      </c>
      <c r="H11" s="46" t="s"/>
      <c r="I11" s="46" t="s">
        <v>144</v>
      </c>
      <c r="J11" t="s">
        <f>=_xlfn.CONCAT(B11," AS ",E11,",")</f>
        <v>1475</v>
      </c>
    </row>
    <row r="12" spans="1:10">
      <c r="A12" s="46" t="s">
        <v>1455</v>
      </c>
      <c r="B12" s="44" t="s">
        <v>41</v>
      </c>
      <c r="C12" s="44" t="s">
        <v>1476</v>
      </c>
      <c r="D12" s="44" t="s">
        <v>43</v>
      </c>
      <c r="E12" s="46" t="s">
        <v>44</v>
      </c>
      <c r="F12" s="44" t="s">
        <v>12</v>
      </c>
      <c r="G12" s="47" t="s">
        <v>13</v>
      </c>
      <c r="H12" s="46" t="s"/>
      <c r="I12" s="46" t="s">
        <v>144</v>
      </c>
      <c r="J12" t="s">
        <f>=_xlfn.CONCAT(B12," AS ",E12,",")</f>
        <v>1477</v>
      </c>
    </row>
    <row r="13" spans="1:10">
      <c r="A13" s="46" t="s">
        <v>1455</v>
      </c>
      <c r="B13" s="44" t="s">
        <v>1215</v>
      </c>
      <c r="C13" s="44" t="s">
        <v>1478</v>
      </c>
      <c r="D13" s="44" t="s">
        <v>1217</v>
      </c>
      <c r="E13" s="46" t="s">
        <v>1218</v>
      </c>
      <c r="F13" s="44" t="s">
        <v>12</v>
      </c>
      <c r="G13" s="47" t="s">
        <v>13</v>
      </c>
      <c r="H13" s="46" t="s"/>
      <c r="I13" s="46" t="s">
        <v>144</v>
      </c>
      <c r="J13" t="s">
        <f>=_xlfn.CONCAT(B13," AS ",E13,",")</f>
        <v>1479</v>
      </c>
    </row>
    <row r="14" spans="1:10">
      <c r="A14" s="46" t="s">
        <v>1455</v>
      </c>
      <c r="B14" s="44" t="s">
        <v>1480</v>
      </c>
      <c r="C14" s="44" t="s">
        <v>1481</v>
      </c>
      <c r="D14" s="44" t="s">
        <v>1482</v>
      </c>
      <c r="E14" s="46" t="s">
        <v>1483</v>
      </c>
      <c r="F14" s="44" t="s">
        <v>12</v>
      </c>
      <c r="G14" s="47" t="s">
        <v>13</v>
      </c>
      <c r="H14" s="46" t="s"/>
      <c r="I14" s="46" t="s">
        <v>144</v>
      </c>
      <c r="J14" t="s">
        <f>=_xlfn.CONCAT(B14," AS ",E14,",")</f>
        <v>1484</v>
      </c>
    </row>
    <row r="15" spans="1:11" s="200" customFormat="true">
      <c r="A15" s="269" t="s">
        <v>1455</v>
      </c>
      <c r="B15" s="224" t="s">
        <v>1485</v>
      </c>
      <c r="C15" s="224" t="s">
        <v>1485</v>
      </c>
      <c r="D15" s="224" t="s">
        <v>1486</v>
      </c>
      <c r="E15" s="269" t="s">
        <v>1486</v>
      </c>
      <c r="F15" s="224" t="s">
        <v>12</v>
      </c>
      <c r="G15" s="224" t="s">
        <v>13</v>
      </c>
      <c r="H15" s="269" t="s"/>
      <c r="I15" s="269" t="s">
        <v>144</v>
      </c>
      <c r="J15" s="200" t="s">
        <f>=_xlfn.CONCAT(B15," AS ",E15,",")</f>
        <v>1487</v>
      </c>
      <c r="K15" s="200" t="s">
        <v>1197</v>
      </c>
    </row>
    <row r="16" spans="1:10">
      <c r="A16" s="46" t="s">
        <v>1455</v>
      </c>
      <c r="B16" s="60" t="s">
        <v>505</v>
      </c>
      <c r="C16" s="60" t="s">
        <v>506</v>
      </c>
      <c r="D16" s="60" t="s">
        <v>506</v>
      </c>
      <c r="E16" s="46" t="s">
        <v>507</v>
      </c>
      <c r="F16" s="60" t="s">
        <v>119</v>
      </c>
      <c r="G16" s="206" t="s">
        <v>13</v>
      </c>
      <c r="H16" s="46" t="s"/>
      <c r="I16" s="46" t="s">
        <v>144</v>
      </c>
      <c r="J16" t="s">
        <f>=_xlfn.CONCAT(B16," AS ",E16,",")</f>
        <v>1488</v>
      </c>
    </row>
    <row r="17" spans="1:10">
      <c r="A17" s="46" t="s">
        <v>1455</v>
      </c>
      <c r="B17" s="44" t="s">
        <v>501</v>
      </c>
      <c r="C17" s="44" t="s">
        <v>502</v>
      </c>
      <c r="D17" s="44" t="s">
        <v>502</v>
      </c>
      <c r="E17" s="46" t="s">
        <v>503</v>
      </c>
      <c r="F17" s="44" t="s">
        <v>119</v>
      </c>
      <c r="G17" s="47" t="s">
        <v>13</v>
      </c>
      <c r="H17" s="46" t="s"/>
      <c r="I17" s="46" t="s">
        <v>144</v>
      </c>
      <c r="J17" t="s">
        <f>=_xlfn.CONCAT(B17," AS ",E17,",")</f>
        <v>1489</v>
      </c>
    </row>
    <row r="18" spans="1:10">
      <c r="A18" s="264" t="s">
        <v>1455</v>
      </c>
      <c r="B18" s="265" t="s">
        <v>509</v>
      </c>
      <c r="C18" s="265" t="s">
        <v>117</v>
      </c>
      <c r="D18" s="265" t="s">
        <v>117</v>
      </c>
      <c r="E18" s="46" t="s">
        <v>118</v>
      </c>
      <c r="F18" s="44" t="s">
        <v>119</v>
      </c>
      <c r="G18" s="47" t="s">
        <v>13</v>
      </c>
      <c r="H18" s="46" t="s"/>
      <c r="I18" s="46" t="s">
        <v>144</v>
      </c>
      <c r="J18" t="s">
        <f>=_xlfn.CONCAT(B18," AS ",E18,",")</f>
        <v>1490</v>
      </c>
    </row>
    <row r="19" spans="1:10">
      <c r="A19" s="46" t="s"/>
      <c r="B19" s="46" t="s"/>
      <c r="C19" s="46" t="s"/>
      <c r="D19" s="49" t="s">
        <v>323</v>
      </c>
      <c r="E19" s="46" t="s">
        <v>324</v>
      </c>
      <c r="F19" s="44" t="s">
        <v>12</v>
      </c>
      <c r="G19" s="47" t="s">
        <v>13</v>
      </c>
      <c r="H19" s="46" t="s">
        <v>1491</v>
      </c>
      <c r="I19" s="46" t="s">
        <v>144</v>
      </c>
      <c r="J19" t="s">
        <f>=_xlfn.CONCAT(B19," AS ",E19,",")</f>
        <v>1451</v>
      </c>
    </row>
    <row r="20" spans="1:11" s="467" customFormat="true">
      <c r="A20" s="54" t="s">
        <v>1492</v>
      </c>
      <c r="B20" s="54" t="s">
        <v>431</v>
      </c>
      <c r="C20" s="54" t="s"/>
      <c r="D20" s="81" t="s">
        <v>284</v>
      </c>
      <c r="E20" s="81" t="s">
        <v>285</v>
      </c>
      <c r="F20" s="54" t="s">
        <v>12</v>
      </c>
      <c r="G20" s="54" t="s">
        <v>13</v>
      </c>
      <c r="H20" s="54" t="s"/>
      <c r="I20" s="54" t="s">
        <v>144</v>
      </c>
      <c r="J20" s="270" t="s"/>
      <c r="K20" s="271" t="s">
        <v>1174</v>
      </c>
    </row>
    <row r="21" spans="1:11" s="274" customFormat="true">
      <c r="A21" s="272" t="s">
        <v>1493</v>
      </c>
      <c r="B21" s="273" t="s">
        <v>1494</v>
      </c>
      <c r="C21" s="273" t="s"/>
      <c r="D21" s="273" t="s">
        <v>1086</v>
      </c>
      <c r="E21" s="273" t="s">
        <v>410</v>
      </c>
      <c r="F21" s="273" t="s">
        <v>12</v>
      </c>
      <c r="G21" s="273" t="s">
        <v>13</v>
      </c>
      <c r="H21" s="273" t="s"/>
      <c r="I21" s="273" t="s">
        <v>144</v>
      </c>
      <c r="J21" s="274" t="s"/>
      <c r="K21" s="275" t="s">
        <v>1495</v>
      </c>
    </row>
    <row r="22" spans="1:11" s="467" customFormat="true">
      <c r="A22" s="54" t="s"/>
      <c r="B22" s="54" t="s"/>
      <c r="C22" s="54" t="s"/>
      <c r="D22" s="54" t="s"/>
      <c r="E22" s="54" t="s"/>
      <c r="F22" s="54" t="s"/>
      <c r="G22" s="54" t="s"/>
      <c r="H22" s="276" t="s"/>
      <c r="I22" s="54" t="s"/>
      <c r="J22" s="277" t="s"/>
      <c r="K22" s="278" t="s"/>
    </row>
    <row r="23" spans="1:11" s="467" customFormat="true">
      <c r="A23" s="54" t="s"/>
      <c r="B23" s="54" t="s"/>
      <c r="C23" s="54" t="s"/>
      <c r="D23" s="54" t="s">
        <v>1496</v>
      </c>
      <c r="E23" s="54" t="s">
        <v>1453</v>
      </c>
      <c r="F23" s="54" t="s">
        <v>12</v>
      </c>
      <c r="G23" s="54" t="s">
        <v>19</v>
      </c>
      <c r="H23" s="54" t="s">
        <v>1454</v>
      </c>
      <c r="I23" s="54" t="s">
        <v>1497</v>
      </c>
      <c r="J23" s="277" t="s"/>
      <c r="K23" s="278" t="s"/>
    </row>
    <row r="24" spans="1:11" s="467" customFormat="true">
      <c r="A24" s="54" t="s"/>
      <c r="B24" s="54" t="s"/>
      <c r="C24" s="54" t="s"/>
      <c r="D24" s="54" t="s">
        <v>22</v>
      </c>
      <c r="E24" s="54" t="s">
        <v>23</v>
      </c>
      <c r="F24" s="54" t="s">
        <v>24</v>
      </c>
      <c r="G24" s="54" t="s">
        <v>19</v>
      </c>
      <c r="H24" s="54" t="s"/>
      <c r="I24" s="54" t="s">
        <v>1497</v>
      </c>
      <c r="J24" s="277" t="s"/>
      <c r="K24" s="278" t="s"/>
    </row>
    <row r="25" spans="1:11" s="467" customFormat="true">
      <c r="A25" s="54" t="s"/>
      <c r="B25" s="54" t="s"/>
      <c r="C25" s="54" t="s"/>
      <c r="D25" s="54" t="s">
        <v>1498</v>
      </c>
      <c r="E25" s="54" t="s">
        <v>1499</v>
      </c>
      <c r="F25" s="54" t="s">
        <v>258</v>
      </c>
      <c r="G25" s="54" t="s">
        <v>134</v>
      </c>
      <c r="H25" s="54" t="s"/>
      <c r="I25" s="54" t="s">
        <v>1497</v>
      </c>
      <c r="J25" s="277" t="s"/>
      <c r="K25" s="278" t="s">
        <v>1174</v>
      </c>
    </row>
    <row r="26" spans="1:11" s="467" customFormat="true">
      <c r="A26" s="54" t="s"/>
      <c r="B26" s="54" t="s"/>
      <c r="C26" s="54" t="s"/>
      <c r="D26" s="54" t="s">
        <v>1500</v>
      </c>
      <c r="E26" s="54" t="s">
        <v>1501</v>
      </c>
      <c r="F26" s="54" t="s">
        <v>258</v>
      </c>
      <c r="G26" s="54" t="s">
        <v>134</v>
      </c>
      <c r="H26" s="54" t="s"/>
      <c r="I26" s="54" t="s">
        <v>1497</v>
      </c>
      <c r="J26" s="277" t="s"/>
      <c r="K26" s="278" t="s">
        <v>1174</v>
      </c>
    </row>
    <row r="27" spans="1:11" s="467" customFormat="true">
      <c r="A27" s="54" t="s"/>
      <c r="B27" s="54" t="s"/>
      <c r="C27" s="54" t="s"/>
      <c r="D27" s="54" t="s">
        <v>1502</v>
      </c>
      <c r="E27" s="54" t="s">
        <v>1503</v>
      </c>
      <c r="F27" s="54" t="s">
        <v>258</v>
      </c>
      <c r="G27" s="54" t="s">
        <v>134</v>
      </c>
      <c r="H27" s="54" t="s"/>
      <c r="I27" s="54" t="s">
        <v>1497</v>
      </c>
      <c r="J27" s="277" t="s"/>
      <c r="K27" s="278" t="s">
        <v>1174</v>
      </c>
    </row>
    <row r="28" spans="1:11" s="473" customFormat="true" ht="17.25" customHeight="true">
      <c r="A28" s="279" t="s"/>
      <c r="B28" s="279" t="s"/>
      <c r="C28" s="279" t="s"/>
      <c r="D28" s="280" t="s">
        <v>1504</v>
      </c>
      <c r="E28" s="54" t="s">
        <v>1505</v>
      </c>
      <c r="F28" s="54" t="s">
        <v>258</v>
      </c>
      <c r="G28" s="54" t="s">
        <v>134</v>
      </c>
      <c r="H28" s="279" t="s"/>
      <c r="I28" s="281" t="s">
        <v>1497</v>
      </c>
      <c r="J28" s="282" t="s"/>
      <c r="K28" s="278" t="s">
        <v>1174</v>
      </c>
    </row>
    <row r="29" spans="1:11" s="473" customFormat="true" ht="17.25" customHeight="true">
      <c r="A29" s="95" t="s"/>
      <c r="B29" s="95" t="s"/>
      <c r="C29" s="95" t="s"/>
      <c r="D29" s="54" t="s">
        <v>1506</v>
      </c>
      <c r="E29" s="54" t="s">
        <v>1507</v>
      </c>
      <c r="F29" s="54" t="s">
        <v>258</v>
      </c>
      <c r="G29" s="54" t="s">
        <v>134</v>
      </c>
      <c r="H29" s="95" t="s"/>
      <c r="I29" s="54" t="s">
        <v>1497</v>
      </c>
      <c r="J29" s="282" t="s"/>
      <c r="K29" s="278" t="s">
        <v>1174</v>
      </c>
    </row>
    <row r="30" spans="1:11" s="473" customFormat="true" ht="17.25" customHeight="true">
      <c r="A30" s="95" t="s"/>
      <c r="B30" s="95" t="s"/>
      <c r="C30" s="95" t="s"/>
      <c r="D30" s="95" t="s">
        <v>1508</v>
      </c>
      <c r="E30" s="95" t="s">
        <v>1509</v>
      </c>
      <c r="F30" s="95" t="s">
        <v>12</v>
      </c>
      <c r="G30" s="95" t="s">
        <v>134</v>
      </c>
      <c r="H30" s="95" t="s"/>
      <c r="I30" s="95" t="s">
        <v>1497</v>
      </c>
      <c r="J30" s="282" t="s"/>
      <c r="K30" s="283" t="s">
        <v>1174</v>
      </c>
    </row>
    <row r="31" spans="1:11" s="467" customFormat="true">
      <c r="A31" s="276" t="s"/>
      <c r="B31" s="276" t="s"/>
      <c r="C31" s="54" t="s"/>
      <c r="D31" s="276" t="s">
        <v>1510</v>
      </c>
      <c r="E31" s="54" t="s">
        <v>1511</v>
      </c>
      <c r="F31" s="54" t="s">
        <v>12</v>
      </c>
      <c r="G31" s="54" t="s">
        <v>134</v>
      </c>
      <c r="H31" s="54" t="s">
        <v>1512</v>
      </c>
      <c r="I31" s="54" t="s">
        <v>1497</v>
      </c>
      <c r="J31" s="277" t="s"/>
      <c r="K31" s="278" t="s">
        <v>1174</v>
      </c>
    </row>
  </sheetData>
</worksheet>
</file>

<file path=xl/worksheets/sheet8.xml><?xml version="1.0" encoding="utf-8"?>
<worksheet xmlns="http://schemas.openxmlformats.org/spreadsheetml/2006/main">
  <sheetPr codeName="item of chamber">
    <tabColor rgb="FFFFFFFF"/>
  </sheetPr>
  <dimension ref="I46"/>
  <sheetViews>
    <sheetView showGridLines="true" workbookViewId="0"/>
  </sheetViews>
  <sheetFormatPr baseColWidth="13" defaultRowHeight="18" customHeight="true"/>
  <cols>
    <col min="1" max="1" width="36.9609" customWidth="true"/>
    <col min="2" max="2" width="22.8906" customWidth="true"/>
    <col min="3" max="3" width="32.7734" customWidth="true"/>
    <col min="4" max="4" width="29.2734" customWidth="true"/>
    <col min="5" max="5" width="21.582" customWidth="true"/>
    <col min="6" max="6" width="15.1016" customWidth="true"/>
    <col min="7" max="7" width="23.0625" customWidth="true"/>
    <col min="8" max="8" width="22.1211" customWidth="true"/>
    <col min="9" max="9" width="25.3516" customWidth="true"/>
  </cols>
  <sheetData>
    <row r="1" spans="1:9">
      <c r="A1" s="4" t="s">
        <v>1</v>
      </c>
      <c r="B1" s="4" t="s">
        <v>2</v>
      </c>
      <c r="C1" s="4" t="s">
        <v>202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9</v>
      </c>
      <c r="I1" s="4" t="s">
        <v>8</v>
      </c>
    </row>
    <row r="2" spans="1:9">
      <c r="A2" s="264" t="s"/>
      <c r="B2" s="264" t="s"/>
      <c r="C2" s="264" t="s"/>
      <c r="D2" s="264" t="s">
        <v>1830</v>
      </c>
      <c r="E2" s="264" t="s">
        <v>1831</v>
      </c>
      <c r="F2" s="107" t="s">
        <v>12</v>
      </c>
      <c r="G2" s="264" t="s">
        <v>13</v>
      </c>
      <c r="H2" s="264" t="s">
        <v>2456</v>
      </c>
      <c r="I2" s="46" t="s">
        <v>159</v>
      </c>
    </row>
    <row r="3" spans="1:9">
      <c r="A3" s="46" t="s">
        <v>2457</v>
      </c>
      <c r="B3" s="107" t="s">
        <v>26</v>
      </c>
      <c r="C3" s="107" t="s">
        <v>385</v>
      </c>
      <c r="D3" s="107" t="s">
        <v>28</v>
      </c>
      <c r="E3" s="46" t="s">
        <v>29</v>
      </c>
      <c r="F3" s="107" t="s">
        <v>12</v>
      </c>
      <c r="G3" s="375" t="s">
        <v>13</v>
      </c>
      <c r="H3" s="46" t="s"/>
      <c r="I3" s="46" t="s">
        <v>159</v>
      </c>
    </row>
    <row r="4" spans="1:9">
      <c r="A4" s="46" t="s">
        <v>2457</v>
      </c>
      <c r="B4" s="107" t="s">
        <v>31</v>
      </c>
      <c r="C4" s="107" t="s"/>
      <c r="D4" s="107" t="s">
        <v>33</v>
      </c>
      <c r="E4" s="46" t="s">
        <v>34</v>
      </c>
      <c r="F4" s="107" t="s">
        <v>12</v>
      </c>
      <c r="G4" s="375" t="s">
        <v>13</v>
      </c>
      <c r="H4" s="46" t="s"/>
      <c r="I4" s="46" t="s">
        <v>159</v>
      </c>
    </row>
    <row r="5" spans="1:9" s="474" customFormat="true">
      <c r="A5" s="376" t="s">
        <v>2457</v>
      </c>
      <c r="B5" s="376" t="s">
        <v>732</v>
      </c>
      <c r="C5" s="376" t="s">
        <v>732</v>
      </c>
      <c r="D5" s="376" t="s">
        <v>733</v>
      </c>
      <c r="E5" s="376" t="s">
        <v>58</v>
      </c>
      <c r="F5" s="376" t="s">
        <v>12</v>
      </c>
      <c r="G5" s="377" t="s">
        <v>13</v>
      </c>
      <c r="H5" s="376" t="s"/>
      <c r="I5" s="376" t="s">
        <v>159</v>
      </c>
    </row>
    <row r="6" spans="1:9">
      <c r="A6" s="46" t="s">
        <v>2457</v>
      </c>
      <c r="B6" s="107" t="s">
        <v>36</v>
      </c>
      <c r="C6" s="107" t="s">
        <v>2458</v>
      </c>
      <c r="D6" s="107" t="s">
        <v>1079</v>
      </c>
      <c r="E6" s="46" t="s">
        <v>39</v>
      </c>
      <c r="F6" s="107" t="s">
        <v>12</v>
      </c>
      <c r="G6" s="375" t="s">
        <v>13</v>
      </c>
      <c r="H6" s="46" t="s"/>
      <c r="I6" s="46" t="s">
        <v>159</v>
      </c>
    </row>
    <row r="7" spans="1:9">
      <c r="A7" s="46" t="s">
        <v>2457</v>
      </c>
      <c r="B7" s="107" t="s">
        <v>41</v>
      </c>
      <c r="C7" s="107" t="s">
        <v>1476</v>
      </c>
      <c r="D7" s="107" t="s">
        <v>43</v>
      </c>
      <c r="E7" s="46" t="s">
        <v>44</v>
      </c>
      <c r="F7" s="107" t="s">
        <v>12</v>
      </c>
      <c r="G7" s="375" t="s">
        <v>13</v>
      </c>
      <c r="H7" s="46" t="s"/>
      <c r="I7" s="46" t="s">
        <v>159</v>
      </c>
    </row>
    <row r="8" spans="1:9">
      <c r="A8" s="46" t="s">
        <v>2457</v>
      </c>
      <c r="B8" s="107" t="s">
        <v>46</v>
      </c>
      <c r="C8" s="107" t="s">
        <v>2459</v>
      </c>
      <c r="D8" s="107" t="s">
        <v>48</v>
      </c>
      <c r="E8" s="46" t="s">
        <v>49</v>
      </c>
      <c r="F8" s="107" t="s">
        <v>12</v>
      </c>
      <c r="G8" s="375" t="s">
        <v>13</v>
      </c>
      <c r="H8" s="46" t="s"/>
      <c r="I8" s="46" t="s">
        <v>159</v>
      </c>
    </row>
    <row r="9" spans="1:9">
      <c r="A9" s="46" t="s">
        <v>2457</v>
      </c>
      <c r="B9" s="107" t="s">
        <v>76</v>
      </c>
      <c r="C9" s="107" t="s">
        <v>77</v>
      </c>
      <c r="D9" s="107" t="s">
        <v>78</v>
      </c>
      <c r="E9" s="46" t="s">
        <v>79</v>
      </c>
      <c r="F9" s="107" t="s">
        <v>12</v>
      </c>
      <c r="G9" s="375" t="s">
        <v>13</v>
      </c>
      <c r="H9" s="46" t="s"/>
      <c r="I9" s="46" t="s">
        <v>159</v>
      </c>
    </row>
    <row r="10" spans="1:9">
      <c r="A10" s="46" t="s">
        <v>2457</v>
      </c>
      <c r="B10" s="107" t="s">
        <v>81</v>
      </c>
      <c r="C10" s="107" t="s">
        <v>2085</v>
      </c>
      <c r="D10" s="107" t="s">
        <v>83</v>
      </c>
      <c r="E10" s="46" t="s">
        <v>84</v>
      </c>
      <c r="F10" s="107" t="s">
        <v>2091</v>
      </c>
      <c r="G10" s="375" t="s">
        <v>13</v>
      </c>
      <c r="H10" s="46" t="s"/>
      <c r="I10" s="46" t="s">
        <v>159</v>
      </c>
    </row>
    <row r="11" spans="1:9">
      <c r="A11" s="46" t="s">
        <v>2457</v>
      </c>
      <c r="B11" s="107" t="s">
        <v>2460</v>
      </c>
      <c r="C11" s="107" t="s">
        <v>2461</v>
      </c>
      <c r="D11" s="107" t="s">
        <v>2462</v>
      </c>
      <c r="E11" s="46" t="s">
        <v>2463</v>
      </c>
      <c r="F11" s="107" t="s">
        <v>12</v>
      </c>
      <c r="G11" s="375" t="s">
        <v>13</v>
      </c>
      <c r="H11" s="46" t="s"/>
      <c r="I11" s="46" t="s">
        <v>159</v>
      </c>
    </row>
    <row r="12" spans="1:9" s="78" customFormat="true">
      <c r="A12" s="107" t="s">
        <v>2457</v>
      </c>
      <c r="B12" s="107" t="s">
        <v>2089</v>
      </c>
      <c r="C12" s="107" t="s">
        <v>2090</v>
      </c>
      <c r="D12" s="378" t="s">
        <v>89</v>
      </c>
      <c r="E12" s="107" t="s">
        <v>90</v>
      </c>
      <c r="F12" s="107" t="s">
        <v>2091</v>
      </c>
      <c r="G12" s="379" t="s">
        <v>13</v>
      </c>
      <c r="H12" s="107" t="s"/>
      <c r="I12" s="107" t="s">
        <v>159</v>
      </c>
    </row>
    <row r="13" spans="1:9" s="78" customFormat="true">
      <c r="A13" s="107" t="s">
        <v>2457</v>
      </c>
      <c r="B13" s="107" t="s">
        <v>2092</v>
      </c>
      <c r="C13" s="107" t="s">
        <v>2093</v>
      </c>
      <c r="D13" s="378" t="s">
        <v>93</v>
      </c>
      <c r="E13" s="107" t="s">
        <v>94</v>
      </c>
      <c r="F13" s="107" t="s">
        <v>12</v>
      </c>
      <c r="G13" s="379" t="s">
        <v>13</v>
      </c>
      <c r="H13" s="107" t="s"/>
      <c r="I13" s="107" t="s">
        <v>159</v>
      </c>
    </row>
    <row r="14" spans="1:9" s="474" customFormat="true">
      <c r="A14" s="376" t="s">
        <v>2457</v>
      </c>
      <c r="B14" s="376" t="s">
        <v>2464</v>
      </c>
      <c r="C14" s="376" t="s">
        <v>2465</v>
      </c>
      <c r="D14" s="376" t="s">
        <v>2466</v>
      </c>
      <c r="E14" s="376" t="s">
        <v>2467</v>
      </c>
      <c r="F14" s="376" t="s">
        <v>85</v>
      </c>
      <c r="G14" s="377" t="s">
        <v>13</v>
      </c>
      <c r="H14" s="376" t="s"/>
      <c r="I14" s="376" t="s">
        <v>159</v>
      </c>
    </row>
    <row r="15" spans="1:9" s="474" customFormat="true">
      <c r="A15" s="376" t="s">
        <v>2457</v>
      </c>
      <c r="B15" s="376" t="s">
        <v>2468</v>
      </c>
      <c r="C15" s="376" t="s">
        <v>2469</v>
      </c>
      <c r="D15" s="376" t="s">
        <v>2470</v>
      </c>
      <c r="E15" s="376" t="s">
        <v>2471</v>
      </c>
      <c r="F15" s="376" t="s">
        <v>12</v>
      </c>
      <c r="G15" s="377" t="s">
        <v>13</v>
      </c>
      <c r="H15" s="376" t="s"/>
      <c r="I15" s="376" t="s">
        <v>159</v>
      </c>
    </row>
    <row r="16" spans="1:9">
      <c r="A16" s="46" t="s">
        <v>2472</v>
      </c>
      <c r="B16" s="107" t="s">
        <v>684</v>
      </c>
      <c r="C16" s="107" t="s">
        <v>1461</v>
      </c>
      <c r="D16" s="107" t="s">
        <v>1096</v>
      </c>
      <c r="E16" s="107" t="s">
        <v>1228</v>
      </c>
      <c r="F16" s="107" t="s">
        <v>85</v>
      </c>
      <c r="G16" s="375" t="s">
        <v>13</v>
      </c>
      <c r="H16" s="46" t="s"/>
      <c r="I16" s="46" t="s">
        <v>159</v>
      </c>
    </row>
    <row r="17" spans="1:9">
      <c r="A17" s="46" t="s">
        <v>2472</v>
      </c>
      <c r="B17" s="107" t="s">
        <v>412</v>
      </c>
      <c r="C17" s="107" t="s">
        <v>412</v>
      </c>
      <c r="D17" s="107" t="s">
        <v>414</v>
      </c>
      <c r="E17" s="107" t="s">
        <v>415</v>
      </c>
      <c r="F17" s="107" t="s">
        <v>12</v>
      </c>
      <c r="G17" s="375" t="s">
        <v>13</v>
      </c>
      <c r="H17" s="46" t="s"/>
      <c r="I17" s="46" t="s">
        <v>159</v>
      </c>
    </row>
    <row r="18" spans="1:9">
      <c r="A18" s="46" t="s">
        <v>2472</v>
      </c>
      <c r="B18" s="107" t="s">
        <v>2087</v>
      </c>
      <c r="C18" s="107" t="s">
        <v>2087</v>
      </c>
      <c r="D18" s="107" t="s">
        <v>1482</v>
      </c>
      <c r="E18" s="107" t="s">
        <v>1483</v>
      </c>
      <c r="F18" s="107" t="s">
        <v>12</v>
      </c>
      <c r="G18" s="375" t="s">
        <v>13</v>
      </c>
      <c r="H18" s="46" t="s"/>
      <c r="I18" s="46" t="s">
        <v>159</v>
      </c>
    </row>
    <row r="19" spans="1:9">
      <c r="A19" s="46" t="s">
        <v>2472</v>
      </c>
      <c r="B19" s="107" t="s">
        <v>1485</v>
      </c>
      <c r="C19" s="107" t="s">
        <v>1485</v>
      </c>
      <c r="D19" s="107" t="s">
        <v>1486</v>
      </c>
      <c r="E19" s="107" t="s">
        <v>1486</v>
      </c>
      <c r="F19" s="107" t="s">
        <v>12</v>
      </c>
      <c r="G19" s="375" t="s">
        <v>13</v>
      </c>
      <c r="H19" s="46" t="s"/>
      <c r="I19" s="46" t="s">
        <v>159</v>
      </c>
    </row>
    <row r="20" spans="1:9">
      <c r="A20" s="51" t="s">
        <v>2473</v>
      </c>
      <c r="B20" s="51" t="s">
        <v>433</v>
      </c>
      <c r="C20" s="51" t="s">
        <v>434</v>
      </c>
      <c r="D20" s="51" t="s">
        <v>434</v>
      </c>
      <c r="E20" s="51" t="s">
        <v>435</v>
      </c>
      <c r="F20" s="51" t="s">
        <v>12</v>
      </c>
      <c r="G20" s="375" t="s">
        <v>13</v>
      </c>
      <c r="H20" s="51" t="s"/>
      <c r="I20" s="46" t="s">
        <v>159</v>
      </c>
    </row>
    <row r="21" spans="1:9">
      <c r="A21" s="51" t="s">
        <v>2473</v>
      </c>
      <c r="B21" s="51" t="s">
        <v>728</v>
      </c>
      <c r="C21" s="51" t="s">
        <v>729</v>
      </c>
      <c r="D21" s="51" t="s">
        <v>730</v>
      </c>
      <c r="E21" s="51" t="s">
        <v>731</v>
      </c>
      <c r="F21" s="51" t="s">
        <v>12</v>
      </c>
      <c r="G21" s="375" t="s">
        <v>13</v>
      </c>
      <c r="H21" s="51" t="s"/>
      <c r="I21" s="46" t="s">
        <v>159</v>
      </c>
    </row>
    <row r="22" spans="1:9">
      <c r="A22" s="51" t="s">
        <v>2473</v>
      </c>
      <c r="B22" s="51" t="s">
        <v>1844</v>
      </c>
      <c r="C22" s="51" t="s">
        <v>2474</v>
      </c>
      <c r="D22" s="51" t="s">
        <v>2475</v>
      </c>
      <c r="E22" s="51" t="s">
        <v>1847</v>
      </c>
      <c r="F22" s="51" t="s">
        <v>12</v>
      </c>
      <c r="G22" s="375" t="s">
        <v>13</v>
      </c>
      <c r="H22" s="51" t="s"/>
      <c r="I22" s="46" t="s">
        <v>159</v>
      </c>
    </row>
    <row r="23" spans="1:9">
      <c r="A23" s="46" t="s">
        <v>2457</v>
      </c>
      <c r="B23" s="107" t="s">
        <v>2476</v>
      </c>
      <c r="C23" s="107" t="s">
        <v>2477</v>
      </c>
      <c r="D23" s="107" t="s">
        <v>2478</v>
      </c>
      <c r="E23" s="46" t="s">
        <v>2479</v>
      </c>
      <c r="F23" s="107" t="s">
        <v>12</v>
      </c>
      <c r="G23" s="375" t="s">
        <v>13</v>
      </c>
      <c r="H23" s="46" t="s"/>
      <c r="I23" s="46" t="s">
        <v>159</v>
      </c>
    </row>
    <row r="24" spans="1:9">
      <c r="A24" s="51" t="s"/>
      <c r="B24" s="51" t="s"/>
      <c r="C24" s="51" t="s"/>
      <c r="D24" s="51" t="s">
        <v>323</v>
      </c>
      <c r="E24" s="46" t="s">
        <v>324</v>
      </c>
      <c r="F24" s="44" t="s">
        <v>12</v>
      </c>
      <c r="G24" s="375" t="s">
        <v>13</v>
      </c>
      <c r="H24" s="46" t="s">
        <v>1701</v>
      </c>
      <c r="I24" s="46" t="s">
        <v>159</v>
      </c>
    </row>
    <row r="25" spans="1:9">
      <c r="A25" s="51" t="s"/>
      <c r="B25" s="51" t="s"/>
      <c r="C25" s="51" t="s"/>
      <c r="D25" s="51" t="s"/>
      <c r="E25" s="51" t="s"/>
      <c r="F25" s="51" t="s"/>
      <c r="G25" s="46" t="s"/>
      <c r="H25" s="51" t="s"/>
      <c r="I25" s="51" t="s"/>
    </row>
    <row r="26" spans="1:9">
      <c r="A26" s="51" t="s"/>
      <c r="B26" s="51" t="s"/>
      <c r="C26" s="51" t="s"/>
      <c r="D26" s="46" t="s">
        <v>1830</v>
      </c>
      <c r="E26" s="46" t="s">
        <v>1831</v>
      </c>
      <c r="F26" s="107" t="s">
        <v>12</v>
      </c>
      <c r="G26" s="264" t="s">
        <v>19</v>
      </c>
      <c r="H26" s="264" t="s">
        <v>2456</v>
      </c>
      <c r="I26" s="51" t="s">
        <v>162</v>
      </c>
    </row>
    <row r="27" spans="1:9">
      <c r="A27" s="51" t="s"/>
      <c r="B27" s="51" t="s"/>
      <c r="C27" s="51" t="s"/>
      <c r="D27" s="46" t="s">
        <v>22</v>
      </c>
      <c r="E27" s="46" t="s">
        <v>23</v>
      </c>
      <c r="F27" s="380" t="s">
        <v>24</v>
      </c>
      <c r="G27" s="375" t="s">
        <v>19</v>
      </c>
      <c r="H27" s="264" t="s"/>
      <c r="I27" s="51" t="s">
        <v>162</v>
      </c>
    </row>
    <row r="28" spans="1:9">
      <c r="A28" s="46" t="s">
        <v>2472</v>
      </c>
      <c r="B28" s="107" t="s">
        <v>2480</v>
      </c>
      <c r="C28" s="107" t="s">
        <v>2481</v>
      </c>
      <c r="D28" s="107" t="s">
        <v>2482</v>
      </c>
      <c r="E28" s="107" t="s">
        <v>2483</v>
      </c>
      <c r="F28" s="107" t="s">
        <v>2484</v>
      </c>
      <c r="G28" s="375" t="s">
        <v>19</v>
      </c>
      <c r="H28" s="46" t="s"/>
      <c r="I28" s="51" t="s">
        <v>162</v>
      </c>
    </row>
    <row r="29" spans="1:9">
      <c r="A29" s="46" t="s">
        <v>2457</v>
      </c>
      <c r="B29" s="107" t="s">
        <v>2485</v>
      </c>
      <c r="C29" s="107" t="s">
        <v>2486</v>
      </c>
      <c r="D29" s="107" t="s">
        <v>2486</v>
      </c>
      <c r="E29" s="46" t="s">
        <v>2487</v>
      </c>
      <c r="F29" s="107" t="s">
        <v>2488</v>
      </c>
      <c r="G29" s="375" t="s">
        <v>19</v>
      </c>
      <c r="H29" s="46" t="s"/>
      <c r="I29" s="51" t="s">
        <v>162</v>
      </c>
    </row>
    <row r="30" spans="1:9">
      <c r="A30" s="46" t="s">
        <v>2457</v>
      </c>
      <c r="B30" s="107" t="s">
        <v>2489</v>
      </c>
      <c r="C30" s="107" t="s">
        <v>2096</v>
      </c>
      <c r="D30" s="107" t="s">
        <v>2096</v>
      </c>
      <c r="E30" s="46" t="s">
        <v>2097</v>
      </c>
      <c r="F30" s="107" t="s">
        <v>258</v>
      </c>
      <c r="G30" s="375" t="s">
        <v>19</v>
      </c>
      <c r="H30" s="46" t="s"/>
      <c r="I30" s="51" t="s">
        <v>162</v>
      </c>
    </row>
    <row r="31" spans="1:9">
      <c r="A31" s="46" t="s">
        <v>2457</v>
      </c>
      <c r="B31" s="107" t="s">
        <v>2490</v>
      </c>
      <c r="C31" s="107" t="s">
        <v>2491</v>
      </c>
      <c r="D31" s="107" t="s">
        <v>2491</v>
      </c>
      <c r="E31" s="46" t="s">
        <v>2492</v>
      </c>
      <c r="F31" s="107" t="s">
        <v>258</v>
      </c>
      <c r="G31" s="375" t="s">
        <v>19</v>
      </c>
      <c r="H31" s="46" t="s"/>
      <c r="I31" s="51" t="s">
        <v>162</v>
      </c>
    </row>
    <row r="32" spans="1:9">
      <c r="A32" s="46" t="s">
        <v>2457</v>
      </c>
      <c r="B32" s="107" t="s">
        <v>509</v>
      </c>
      <c r="C32" s="107" t="s">
        <v>2493</v>
      </c>
      <c r="D32" s="107" t="s">
        <v>2494</v>
      </c>
      <c r="E32" s="46" t="s">
        <v>118</v>
      </c>
      <c r="F32" s="107" t="s">
        <v>119</v>
      </c>
      <c r="G32" s="375" t="s">
        <v>19</v>
      </c>
      <c r="H32" s="46" t="s"/>
      <c r="I32" s="51" t="s">
        <v>162</v>
      </c>
    </row>
    <row r="33" spans="1:9">
      <c r="A33" s="51" t="s">
        <v>2473</v>
      </c>
      <c r="B33" s="51" t="s">
        <v>2495</v>
      </c>
      <c r="C33" s="51" t="s">
        <v>2496</v>
      </c>
      <c r="D33" s="51" t="s">
        <v>2496</v>
      </c>
      <c r="E33" s="51" t="s">
        <v>2497</v>
      </c>
      <c r="F33" s="51" t="s">
        <v>2488</v>
      </c>
      <c r="G33" s="375" t="s">
        <v>19</v>
      </c>
      <c r="H33" s="51" t="s"/>
      <c r="I33" s="51" t="s">
        <v>162</v>
      </c>
    </row>
    <row r="34" spans="1:9">
      <c r="A34" s="51" t="s">
        <v>2473</v>
      </c>
      <c r="B34" s="51" t="s">
        <v>2498</v>
      </c>
      <c r="C34" s="51" t="s">
        <v>2499</v>
      </c>
      <c r="D34" s="51" t="s">
        <v>2499</v>
      </c>
      <c r="E34" s="51" t="s">
        <v>2500</v>
      </c>
      <c r="F34" s="51" t="s">
        <v>2488</v>
      </c>
      <c r="G34" s="375" t="s">
        <v>19</v>
      </c>
      <c r="H34" s="51" t="s"/>
      <c r="I34" s="51" t="s">
        <v>162</v>
      </c>
    </row>
    <row r="35" spans="1:9">
      <c r="A35" s="51" t="s">
        <v>2473</v>
      </c>
      <c r="B35" s="51" t="s">
        <v>2501</v>
      </c>
      <c r="C35" s="51" t="s">
        <v>2502</v>
      </c>
      <c r="D35" s="51" t="s">
        <v>2503</v>
      </c>
      <c r="E35" s="51" t="s">
        <v>2504</v>
      </c>
      <c r="F35" s="51" t="s">
        <v>258</v>
      </c>
      <c r="G35" s="375" t="s">
        <v>19</v>
      </c>
      <c r="H35" s="51" t="s"/>
      <c r="I35" s="51" t="s">
        <v>162</v>
      </c>
    </row>
    <row r="36" spans="1:9">
      <c r="A36" s="51" t="s">
        <v>2473</v>
      </c>
      <c r="B36" s="51" t="s">
        <v>2505</v>
      </c>
      <c r="C36" s="51" t="s">
        <v>2506</v>
      </c>
      <c r="D36" s="51" t="s">
        <v>2507</v>
      </c>
      <c r="E36" s="51" t="s">
        <v>2508</v>
      </c>
      <c r="F36" s="51" t="s">
        <v>2488</v>
      </c>
      <c r="G36" s="375" t="s">
        <v>19</v>
      </c>
      <c r="H36" s="51" t="s"/>
      <c r="I36" s="51" t="s">
        <v>162</v>
      </c>
    </row>
    <row r="37" spans="1:9">
      <c r="A37" s="51" t="s">
        <v>2473</v>
      </c>
      <c r="B37" s="51" t="s">
        <v>2509</v>
      </c>
      <c r="C37" s="51" t="s">
        <v>2510</v>
      </c>
      <c r="D37" s="51" t="s">
        <v>2511</v>
      </c>
      <c r="E37" s="51" t="s">
        <v>2512</v>
      </c>
      <c r="F37" s="51" t="s">
        <v>2488</v>
      </c>
      <c r="G37" s="375" t="s">
        <v>19</v>
      </c>
      <c r="H37" s="51" t="s"/>
      <c r="I37" s="51" t="s">
        <v>162</v>
      </c>
    </row>
    <row r="38" spans="1:9">
      <c r="A38" s="51" t="s">
        <v>2473</v>
      </c>
      <c r="B38" s="51" t="s">
        <v>2513</v>
      </c>
      <c r="C38" s="51" t="s">
        <v>2514</v>
      </c>
      <c r="D38" s="51" t="s">
        <v>2515</v>
      </c>
      <c r="E38" s="51" t="s">
        <v>2516</v>
      </c>
      <c r="F38" s="51" t="s">
        <v>258</v>
      </c>
      <c r="G38" s="375" t="s">
        <v>19</v>
      </c>
      <c r="H38" s="51" t="s"/>
      <c r="I38" s="51" t="s">
        <v>162</v>
      </c>
    </row>
    <row r="39" spans="1:9">
      <c r="A39" s="51" t="s">
        <v>2473</v>
      </c>
      <c r="B39" s="51" t="s">
        <v>2517</v>
      </c>
      <c r="C39" s="51" t="s">
        <v>2518</v>
      </c>
      <c r="D39" s="51" t="s">
        <v>2519</v>
      </c>
      <c r="E39" s="51" t="s">
        <v>2519</v>
      </c>
      <c r="F39" s="51" t="s">
        <v>2488</v>
      </c>
      <c r="G39" s="375" t="s">
        <v>19</v>
      </c>
      <c r="H39" s="51" t="s"/>
      <c r="I39" s="51" t="s">
        <v>162</v>
      </c>
    </row>
    <row r="40" spans="1:9">
      <c r="A40" s="51" t="s">
        <v>2473</v>
      </c>
      <c r="B40" s="51" t="s">
        <v>2520</v>
      </c>
      <c r="C40" s="51" t="s">
        <v>2521</v>
      </c>
      <c r="D40" s="51" t="s">
        <v>2522</v>
      </c>
      <c r="E40" s="51" t="s">
        <v>2522</v>
      </c>
      <c r="F40" s="51" t="s">
        <v>2488</v>
      </c>
      <c r="G40" s="375" t="s">
        <v>19</v>
      </c>
      <c r="H40" s="51" t="s"/>
      <c r="I40" s="51" t="s">
        <v>162</v>
      </c>
    </row>
    <row r="41" spans="1:9">
      <c r="A41" s="51" t="s">
        <v>2473</v>
      </c>
      <c r="B41" s="51" t="s">
        <v>2523</v>
      </c>
      <c r="C41" s="51" t="s">
        <v>2523</v>
      </c>
      <c r="D41" s="51" t="s">
        <v>2524</v>
      </c>
      <c r="E41" s="51" t="s">
        <v>2524</v>
      </c>
      <c r="F41" s="51" t="s">
        <v>2488</v>
      </c>
      <c r="G41" s="375" t="s">
        <v>19</v>
      </c>
      <c r="H41" s="51" t="s"/>
      <c r="I41" s="51" t="s">
        <v>162</v>
      </c>
    </row>
    <row r="42" spans="1:9">
      <c r="A42" s="51" t="s">
        <v>2473</v>
      </c>
      <c r="B42" s="51" t="s">
        <v>531</v>
      </c>
      <c r="C42" s="51" t="s">
        <v>2525</v>
      </c>
      <c r="D42" s="51" t="s">
        <v>2525</v>
      </c>
      <c r="E42" s="51" t="s">
        <v>2526</v>
      </c>
      <c r="F42" s="51" t="s">
        <v>2488</v>
      </c>
      <c r="G42" s="375" t="s">
        <v>19</v>
      </c>
      <c r="H42" s="51" t="s"/>
      <c r="I42" s="51" t="s">
        <v>162</v>
      </c>
    </row>
    <row r="43" spans="1:9">
      <c r="A43" s="51" t="s">
        <v>2473</v>
      </c>
      <c r="B43" s="51" t="s">
        <v>536</v>
      </c>
      <c r="C43" s="51" t="s">
        <v>2527</v>
      </c>
      <c r="D43" s="51" t="s">
        <v>2527</v>
      </c>
      <c r="E43" s="51" t="s">
        <v>2528</v>
      </c>
      <c r="F43" s="51" t="s">
        <v>2488</v>
      </c>
      <c r="G43" s="375" t="s">
        <v>19</v>
      </c>
      <c r="H43" s="51" t="s"/>
      <c r="I43" s="51" t="s">
        <v>162</v>
      </c>
    </row>
    <row r="44" spans="1:9">
      <c r="A44" s="51" t="s">
        <v>2473</v>
      </c>
      <c r="B44" s="51" t="s">
        <v>541</v>
      </c>
      <c r="C44" s="51" t="s">
        <v>2529</v>
      </c>
      <c r="D44" s="51" t="s">
        <v>2529</v>
      </c>
      <c r="E44" s="51" t="s">
        <v>2530</v>
      </c>
      <c r="F44" s="51" t="s">
        <v>2488</v>
      </c>
      <c r="G44" s="375" t="s">
        <v>19</v>
      </c>
      <c r="H44" s="51" t="s"/>
      <c r="I44" s="51" t="s">
        <v>162</v>
      </c>
    </row>
    <row r="45" spans="1:9">
      <c r="A45" s="51" t="s">
        <v>2473</v>
      </c>
      <c r="B45" s="51" t="s">
        <v>509</v>
      </c>
      <c r="C45" s="51" t="s">
        <v>117</v>
      </c>
      <c r="D45" s="51" t="s">
        <v>117</v>
      </c>
      <c r="E45" s="51" t="s">
        <v>118</v>
      </c>
      <c r="F45" s="51" t="s">
        <v>119</v>
      </c>
      <c r="G45" s="375" t="s">
        <v>19</v>
      </c>
      <c r="H45" s="51" t="s"/>
      <c r="I45" s="51" t="s">
        <v>162</v>
      </c>
    </row>
    <row r="46" spans="1:9">
      <c r="A46" s="46" t="s">
        <v>2472</v>
      </c>
      <c r="B46" s="107" t="s">
        <v>2531</v>
      </c>
      <c r="C46" s="107" t="s">
        <v>732</v>
      </c>
      <c r="D46" s="107" t="s">
        <v>2532</v>
      </c>
      <c r="E46" s="107" t="s">
        <v>2532</v>
      </c>
      <c r="F46" s="107" t="s">
        <v>2484</v>
      </c>
      <c r="G46" s="46" t="s">
        <v>19</v>
      </c>
      <c r="H46" s="46" t="s"/>
      <c r="I46" s="51" t="s">
        <v>162</v>
      </c>
    </row>
  </sheetData>
</worksheet>
</file>

<file path=xl/worksheets/sheet9.xml><?xml version="1.0" encoding="utf-8"?>
<worksheet xmlns="http://schemas.openxmlformats.org/spreadsheetml/2006/main">
  <sheetPr codeName="step of chamber">
    <tabColor/>
  </sheetPr>
  <dimension ref="I30"/>
  <sheetViews>
    <sheetView showGridLines="true" workbookViewId="0"/>
  </sheetViews>
  <sheetFormatPr baseColWidth="13" defaultRowHeight="18" customHeight="true"/>
  <cols>
    <col min="1" max="1" width="51.3906" customWidth="true"/>
    <col min="2" max="2" width="22.8906" customWidth="true"/>
    <col min="3" max="3" width="29.0039" customWidth="true"/>
    <col min="4" max="4" width="30.6211" customWidth="true"/>
    <col min="5" max="5" width="27.3828" customWidth="true"/>
    <col min="7" max="7" width="16.0508" customWidth="true"/>
    <col min="8" max="8" width="23.2031" customWidth="true"/>
    <col min="9" max="9" width="29.0039" customWidth="true"/>
  </cols>
  <sheetData>
    <row r="1" spans="1:9">
      <c r="A1" s="7" t="s">
        <v>1</v>
      </c>
      <c r="B1" s="7" t="s">
        <v>2</v>
      </c>
      <c r="C1" s="7" t="s">
        <v>202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9</v>
      </c>
      <c r="I1" s="4" t="s">
        <v>8</v>
      </c>
    </row>
    <row r="2" spans="1:9">
      <c r="A2" s="46" t="s"/>
      <c r="B2" s="46" t="s"/>
      <c r="C2" s="46" t="s"/>
      <c r="D2" s="47" t="s">
        <v>1452</v>
      </c>
      <c r="E2" s="47" t="s">
        <v>1453</v>
      </c>
      <c r="F2" s="47" t="s">
        <v>12</v>
      </c>
      <c r="G2" s="46" t="s">
        <v>13</v>
      </c>
      <c r="H2" s="46" t="s">
        <v>2082</v>
      </c>
      <c r="I2" s="46" t="s">
        <v>163</v>
      </c>
    </row>
    <row r="3" spans="1:9">
      <c r="A3" s="46" t="s">
        <v>2083</v>
      </c>
      <c r="B3" s="352" t="s">
        <v>26</v>
      </c>
      <c r="C3" s="352" t="s">
        <v>385</v>
      </c>
      <c r="D3" s="352" t="s">
        <v>28</v>
      </c>
      <c r="E3" s="65" t="s">
        <v>29</v>
      </c>
      <c r="F3" s="352" t="s">
        <v>12</v>
      </c>
      <c r="G3" s="46" t="s">
        <v>13</v>
      </c>
      <c r="H3" s="46" t="s"/>
      <c r="I3" s="46" t="s">
        <v>163</v>
      </c>
    </row>
    <row r="4" spans="1:9">
      <c r="A4" s="46" t="s">
        <v>2083</v>
      </c>
      <c r="B4" s="352" t="s">
        <v>31</v>
      </c>
      <c r="C4" s="352" t="s"/>
      <c r="D4" s="352" t="s">
        <v>33</v>
      </c>
      <c r="E4" s="65" t="s">
        <v>34</v>
      </c>
      <c r="F4" s="352" t="s">
        <v>600</v>
      </c>
      <c r="G4" s="46" t="s">
        <v>13</v>
      </c>
      <c r="H4" s="46" t="s"/>
      <c r="I4" s="46" t="s">
        <v>163</v>
      </c>
    </row>
    <row r="5" spans="1:9">
      <c r="A5" s="46" t="s">
        <v>2083</v>
      </c>
      <c r="B5" s="352" t="s">
        <v>36</v>
      </c>
      <c r="C5" s="352" t="s">
        <v>2084</v>
      </c>
      <c r="D5" s="352" t="s">
        <v>38</v>
      </c>
      <c r="E5" s="65" t="s">
        <v>39</v>
      </c>
      <c r="F5" s="352" t="s">
        <v>12</v>
      </c>
      <c r="G5" s="46" t="s">
        <v>13</v>
      </c>
      <c r="H5" s="46" t="s"/>
      <c r="I5" s="46" t="s">
        <v>163</v>
      </c>
    </row>
    <row r="6" spans="1:9">
      <c r="A6" s="46" t="s">
        <v>2083</v>
      </c>
      <c r="B6" s="352" t="s">
        <v>41</v>
      </c>
      <c r="C6" s="352" t="s">
        <v>1476</v>
      </c>
      <c r="D6" s="352" t="s">
        <v>43</v>
      </c>
      <c r="E6" s="65" t="s">
        <v>44</v>
      </c>
      <c r="F6" s="352" t="s">
        <v>12</v>
      </c>
      <c r="G6" s="46" t="s">
        <v>13</v>
      </c>
      <c r="H6" s="46" t="s"/>
      <c r="I6" s="46" t="s">
        <v>163</v>
      </c>
    </row>
    <row r="7" spans="1:9">
      <c r="A7" s="46" t="s">
        <v>2083</v>
      </c>
      <c r="B7" s="352" t="s">
        <v>76</v>
      </c>
      <c r="C7" s="352" t="s">
        <v>77</v>
      </c>
      <c r="D7" s="352" t="s">
        <v>78</v>
      </c>
      <c r="E7" s="65" t="s">
        <v>79</v>
      </c>
      <c r="F7" s="352" t="s">
        <v>12</v>
      </c>
      <c r="G7" s="46" t="s">
        <v>13</v>
      </c>
      <c r="H7" s="46" t="s"/>
      <c r="I7" s="46" t="s">
        <v>163</v>
      </c>
    </row>
    <row r="8" spans="1:9">
      <c r="A8" s="46" t="s">
        <v>2083</v>
      </c>
      <c r="B8" s="352" t="s">
        <v>81</v>
      </c>
      <c r="C8" s="352" t="s">
        <v>2085</v>
      </c>
      <c r="D8" s="352" t="s">
        <v>83</v>
      </c>
      <c r="E8" s="65" t="s">
        <v>84</v>
      </c>
      <c r="F8" s="352" t="s">
        <v>12</v>
      </c>
      <c r="G8" s="46" t="s">
        <v>13</v>
      </c>
      <c r="H8" s="46" t="s"/>
      <c r="I8" s="46" t="s">
        <v>163</v>
      </c>
    </row>
    <row r="9" spans="1:9">
      <c r="A9" s="46" t="s">
        <v>2083</v>
      </c>
      <c r="B9" s="352" t="s">
        <v>46</v>
      </c>
      <c r="C9" s="352" t="s">
        <v>1458</v>
      </c>
      <c r="D9" s="353" t="s">
        <v>288</v>
      </c>
      <c r="E9" s="65" t="s">
        <v>289</v>
      </c>
      <c r="F9" s="352" t="s">
        <v>12</v>
      </c>
      <c r="G9" s="46" t="s">
        <v>13</v>
      </c>
      <c r="H9" s="46" t="s"/>
      <c r="I9" s="46" t="s">
        <v>163</v>
      </c>
    </row>
    <row r="10" spans="1:9">
      <c r="A10" s="46" t="s">
        <v>2083</v>
      </c>
      <c r="B10" s="352" t="s">
        <v>684</v>
      </c>
      <c r="C10" s="352" t="s">
        <v>1461</v>
      </c>
      <c r="D10" s="352" t="s">
        <v>2086</v>
      </c>
      <c r="E10" s="65" t="s">
        <v>1228</v>
      </c>
      <c r="F10" s="352" t="s">
        <v>85</v>
      </c>
      <c r="G10" s="46" t="s">
        <v>13</v>
      </c>
      <c r="H10" s="46" t="s"/>
      <c r="I10" s="46" t="s">
        <v>163</v>
      </c>
    </row>
    <row r="11" spans="1:9">
      <c r="A11" s="46" t="s">
        <v>2083</v>
      </c>
      <c r="B11" s="352" t="s">
        <v>412</v>
      </c>
      <c r="C11" s="352" t="s">
        <v>412</v>
      </c>
      <c r="D11" s="352" t="s">
        <v>414</v>
      </c>
      <c r="E11" s="65" t="s">
        <v>415</v>
      </c>
      <c r="F11" s="352" t="s">
        <v>12</v>
      </c>
      <c r="G11" s="46" t="s">
        <v>13</v>
      </c>
      <c r="H11" s="46" t="s"/>
      <c r="I11" s="46" t="s">
        <v>163</v>
      </c>
    </row>
    <row r="12" spans="1:9">
      <c r="A12" s="46" t="s">
        <v>2083</v>
      </c>
      <c r="B12" s="352" t="s">
        <v>2087</v>
      </c>
      <c r="C12" s="352" t="s">
        <v>2087</v>
      </c>
      <c r="D12" s="352" t="s">
        <v>2088</v>
      </c>
      <c r="E12" s="65" t="s">
        <v>2088</v>
      </c>
      <c r="F12" s="352" t="s">
        <v>12</v>
      </c>
      <c r="G12" s="46" t="s">
        <v>13</v>
      </c>
      <c r="H12" s="46" t="s"/>
      <c r="I12" s="46" t="s">
        <v>163</v>
      </c>
    </row>
    <row r="13" spans="1:9">
      <c r="A13" s="46" t="s">
        <v>2083</v>
      </c>
      <c r="B13" s="352" t="s">
        <v>1485</v>
      </c>
      <c r="C13" s="352" t="s">
        <v>1485</v>
      </c>
      <c r="D13" s="352" t="s">
        <v>1859</v>
      </c>
      <c r="E13" s="65" t="s">
        <v>1859</v>
      </c>
      <c r="F13" s="352" t="s">
        <v>12</v>
      </c>
      <c r="G13" s="46" t="s">
        <v>13</v>
      </c>
      <c r="H13" s="46" t="s"/>
      <c r="I13" s="46" t="s">
        <v>163</v>
      </c>
    </row>
    <row r="14" spans="1:9">
      <c r="A14" s="46" t="s">
        <v>2083</v>
      </c>
      <c r="B14" s="352" t="s">
        <v>2089</v>
      </c>
      <c r="C14" s="65" t="s">
        <v>2090</v>
      </c>
      <c r="D14" s="65" t="s">
        <v>89</v>
      </c>
      <c r="E14" s="65" t="s">
        <v>90</v>
      </c>
      <c r="F14" s="352" t="s">
        <v>2091</v>
      </c>
      <c r="G14" s="46" t="s">
        <v>13</v>
      </c>
      <c r="H14" s="46" t="s"/>
      <c r="I14" s="46" t="s">
        <v>163</v>
      </c>
    </row>
    <row r="15" spans="1:9">
      <c r="A15" s="46" t="s">
        <v>2083</v>
      </c>
      <c r="B15" s="352" t="s">
        <v>2092</v>
      </c>
      <c r="C15" s="65" t="s">
        <v>2093</v>
      </c>
      <c r="D15" s="65" t="s">
        <v>93</v>
      </c>
      <c r="E15" s="65" t="s">
        <v>94</v>
      </c>
      <c r="F15" s="352" t="s">
        <v>12</v>
      </c>
      <c r="G15" s="46" t="s">
        <v>13</v>
      </c>
      <c r="H15" s="46" t="s"/>
      <c r="I15" s="46" t="s">
        <v>163</v>
      </c>
    </row>
    <row r="16" spans="1:9">
      <c r="A16" s="46" t="s"/>
      <c r="B16" s="352" t="s"/>
      <c r="C16" s="65" t="s"/>
      <c r="D16" s="65" t="s">
        <v>323</v>
      </c>
      <c r="E16" s="46" t="s">
        <v>324</v>
      </c>
      <c r="F16" s="324" t="s">
        <v>12</v>
      </c>
      <c r="G16" s="46" t="s">
        <v>13</v>
      </c>
      <c r="H16" s="46" t="s">
        <v>1702</v>
      </c>
      <c r="I16" s="46" t="s">
        <v>163</v>
      </c>
    </row>
    <row r="17" spans="1:8">
      <c r="A17" s="46" t="s"/>
      <c r="B17" s="352" t="s"/>
      <c r="C17" s="65" t="s"/>
      <c r="D17" s="65" t="s"/>
      <c r="E17" s="65" t="s"/>
      <c r="F17" s="352" t="s"/>
      <c r="G17" s="46" t="s"/>
      <c r="H17" s="46" t="s"/>
    </row>
    <row r="18" spans="1:9">
      <c r="A18" s="46" t="s"/>
      <c r="B18" s="352" t="s"/>
      <c r="C18" s="65" t="s"/>
      <c r="D18" s="354" t="s">
        <v>1452</v>
      </c>
      <c r="E18" s="47" t="s">
        <v>1453</v>
      </c>
      <c r="F18" s="355" t="s">
        <v>12</v>
      </c>
      <c r="G18" s="46" t="s">
        <v>19</v>
      </c>
      <c r="H18" s="46" t="s"/>
      <c r="I18" s="51" t="s">
        <v>166</v>
      </c>
    </row>
    <row r="19" spans="1:9">
      <c r="A19" s="46" t="s"/>
      <c r="B19" s="65" t="s"/>
      <c r="C19" s="65" t="s"/>
      <c r="D19" s="65" t="s">
        <v>22</v>
      </c>
      <c r="E19" s="65" t="s">
        <v>23</v>
      </c>
      <c r="F19" s="65" t="s">
        <v>24</v>
      </c>
      <c r="G19" s="46" t="s">
        <v>19</v>
      </c>
      <c r="H19" s="46" t="s"/>
      <c r="I19" s="51" t="s">
        <v>166</v>
      </c>
    </row>
    <row r="20" spans="1:9">
      <c r="A20" s="46" t="s">
        <v>2083</v>
      </c>
      <c r="B20" s="352" t="s">
        <v>2094</v>
      </c>
      <c r="C20" s="65" t="s">
        <v>2095</v>
      </c>
      <c r="D20" s="65" t="s">
        <v>2096</v>
      </c>
      <c r="E20" s="65" t="s">
        <v>2097</v>
      </c>
      <c r="F20" s="352" t="s">
        <v>2098</v>
      </c>
      <c r="G20" s="46" t="s">
        <v>19</v>
      </c>
      <c r="H20" s="46" t="s"/>
      <c r="I20" s="51" t="s">
        <v>166</v>
      </c>
    </row>
    <row r="21" spans="1:9">
      <c r="A21" s="46" t="s">
        <v>2083</v>
      </c>
      <c r="B21" s="352" t="s">
        <v>2099</v>
      </c>
      <c r="C21" s="65" t="s">
        <v>2100</v>
      </c>
      <c r="D21" s="65" t="s">
        <v>2101</v>
      </c>
      <c r="E21" s="65" t="s">
        <v>2102</v>
      </c>
      <c r="F21" s="352" t="s">
        <v>2098</v>
      </c>
      <c r="G21" s="46" t="s">
        <v>19</v>
      </c>
      <c r="H21" s="46" t="s"/>
      <c r="I21" s="51" t="s">
        <v>166</v>
      </c>
    </row>
    <row r="22" spans="1:9">
      <c r="A22" s="46" t="s">
        <v>2083</v>
      </c>
      <c r="B22" s="352" t="s">
        <v>2103</v>
      </c>
      <c r="C22" s="65" t="s">
        <v>2104</v>
      </c>
      <c r="D22" s="65" t="s">
        <v>2105</v>
      </c>
      <c r="E22" s="65" t="s">
        <v>2106</v>
      </c>
      <c r="F22" s="352" t="s">
        <v>2098</v>
      </c>
      <c r="G22" s="46" t="s">
        <v>19</v>
      </c>
      <c r="H22" s="46" t="s"/>
      <c r="I22" s="51" t="s">
        <v>166</v>
      </c>
    </row>
    <row r="23" spans="1:9">
      <c r="A23" s="46" t="s">
        <v>2083</v>
      </c>
      <c r="B23" s="352" t="s">
        <v>2107</v>
      </c>
      <c r="C23" s="65" t="s">
        <v>2108</v>
      </c>
      <c r="D23" s="65" t="s">
        <v>2109</v>
      </c>
      <c r="E23" s="65" t="s">
        <v>2110</v>
      </c>
      <c r="F23" s="352" t="s">
        <v>2098</v>
      </c>
      <c r="G23" s="46" t="s">
        <v>19</v>
      </c>
      <c r="H23" s="46" t="s"/>
      <c r="I23" s="51" t="s">
        <v>166</v>
      </c>
    </row>
    <row r="24" spans="1:9">
      <c r="A24" s="46" t="s">
        <v>2083</v>
      </c>
      <c r="B24" s="352" t="s">
        <v>2111</v>
      </c>
      <c r="C24" s="65" t="s">
        <v>2112</v>
      </c>
      <c r="D24" s="65" t="s">
        <v>2113</v>
      </c>
      <c r="E24" s="65" t="s">
        <v>2114</v>
      </c>
      <c r="F24" s="352" t="s">
        <v>2098</v>
      </c>
      <c r="G24" s="46" t="s">
        <v>19</v>
      </c>
      <c r="H24" s="46" t="s"/>
      <c r="I24" s="51" t="s">
        <v>166</v>
      </c>
    </row>
    <row r="25" spans="1:9">
      <c r="A25" s="46" t="s">
        <v>2083</v>
      </c>
      <c r="B25" s="352" t="s">
        <v>2115</v>
      </c>
      <c r="C25" s="65" t="s">
        <v>2116</v>
      </c>
      <c r="D25" s="65" t="s">
        <v>2117</v>
      </c>
      <c r="E25" s="65" t="s">
        <v>2118</v>
      </c>
      <c r="F25" s="352" t="s">
        <v>2098</v>
      </c>
      <c r="G25" s="46" t="s">
        <v>19</v>
      </c>
      <c r="H25" s="46" t="s"/>
      <c r="I25" s="51" t="s">
        <v>166</v>
      </c>
    </row>
    <row r="26" spans="1:9">
      <c r="A26" s="46" t="s">
        <v>2083</v>
      </c>
      <c r="B26" s="352" t="s">
        <v>2119</v>
      </c>
      <c r="C26" s="65" t="s">
        <v>2120</v>
      </c>
      <c r="D26" s="65" t="s">
        <v>2121</v>
      </c>
      <c r="E26" s="65" t="s">
        <v>2122</v>
      </c>
      <c r="F26" s="352" t="s">
        <v>2098</v>
      </c>
      <c r="G26" s="46" t="s">
        <v>19</v>
      </c>
      <c r="H26" s="46" t="s"/>
      <c r="I26" s="51" t="s">
        <v>166</v>
      </c>
    </row>
    <row r="27" spans="1:9">
      <c r="A27" s="46" t="s">
        <v>2083</v>
      </c>
      <c r="B27" s="352" t="s">
        <v>2123</v>
      </c>
      <c r="C27" s="65" t="s">
        <v>2124</v>
      </c>
      <c r="D27" s="65" t="s">
        <v>2125</v>
      </c>
      <c r="E27" s="65" t="s">
        <v>2126</v>
      </c>
      <c r="F27" s="352" t="s">
        <v>2098</v>
      </c>
      <c r="G27" s="46" t="s">
        <v>19</v>
      </c>
      <c r="H27" s="46" t="s"/>
      <c r="I27" s="51" t="s">
        <v>166</v>
      </c>
    </row>
    <row r="28" spans="1:9">
      <c r="A28" s="46" t="s">
        <v>2083</v>
      </c>
      <c r="B28" s="352" t="s">
        <v>2127</v>
      </c>
      <c r="C28" s="65" t="s">
        <v>2128</v>
      </c>
      <c r="D28" s="65" t="s">
        <v>2129</v>
      </c>
      <c r="E28" s="65" t="s">
        <v>2130</v>
      </c>
      <c r="F28" s="352" t="s">
        <v>2098</v>
      </c>
      <c r="G28" s="46" t="s">
        <v>19</v>
      </c>
      <c r="H28" s="46" t="s"/>
      <c r="I28" s="51" t="s">
        <v>166</v>
      </c>
    </row>
    <row r="29" spans="1:9">
      <c r="A29" s="46" t="s">
        <v>2083</v>
      </c>
      <c r="B29" s="352" t="s">
        <v>2131</v>
      </c>
      <c r="C29" s="356" t="s">
        <v>2132</v>
      </c>
      <c r="D29" s="356" t="s">
        <v>2132</v>
      </c>
      <c r="E29" s="65" t="s">
        <v>2133</v>
      </c>
      <c r="F29" s="352" t="s">
        <v>258</v>
      </c>
      <c r="G29" s="46" t="s">
        <v>19</v>
      </c>
      <c r="H29" s="46" t="s"/>
      <c r="I29" s="51" t="s">
        <v>166</v>
      </c>
    </row>
    <row r="30" spans="1:9">
      <c r="A30" s="46" t="s">
        <v>2083</v>
      </c>
      <c r="B30" s="65" t="s">
        <v>509</v>
      </c>
      <c r="C30" s="65" t="s">
        <v>117</v>
      </c>
      <c r="D30" s="46" t="s">
        <v>117</v>
      </c>
      <c r="E30" s="51" t="s">
        <v>118</v>
      </c>
      <c r="F30" s="51" t="s">
        <v>119</v>
      </c>
      <c r="G30" s="46" t="s">
        <v>19</v>
      </c>
      <c r="H30" s="46" t="s"/>
      <c r="I30" s="51" t="s">
        <v>166</v>
      </c>
    </row>
  </sheetData>
</worksheet>
</file>

<file path=xl/worksheets/sheet10.xml><?xml version="1.0" encoding="utf-8"?>
<worksheet xmlns="http://schemas.openxmlformats.org/spreadsheetml/2006/main">
  <sheetPr codeName="wat item">
    <tabColor rgb="FFFFFFFF"/>
  </sheetPr>
  <dimension ref="I23"/>
  <sheetViews>
    <sheetView showGridLines="true" workbookViewId="0"/>
  </sheetViews>
  <sheetFormatPr baseColWidth="13" defaultRowHeight="18" customHeight="true"/>
  <cols>
    <col min="1" max="1" width="35.2031" customWidth="true"/>
    <col min="2" max="2" width="24.2227" customWidth="true"/>
    <col min="3" max="3" width="21.3125" customWidth="true"/>
    <col min="4" max="4" width="19.2812" customWidth="true"/>
    <col min="5" max="5" width="20.6328" customWidth="true"/>
    <col min="6" max="6" width="19.2812" customWidth="true"/>
    <col min="8" max="8" width="14.293" customWidth="true"/>
    <col min="9" max="9" width="28.1914" customWidth="true"/>
  </cols>
  <sheetData>
    <row r="1" spans="1:9">
      <c r="A1" s="61" t="s">
        <v>1</v>
      </c>
      <c r="B1" s="4" t="s">
        <v>2</v>
      </c>
      <c r="C1" s="4" t="s">
        <v>202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9</v>
      </c>
      <c r="I1" s="4" t="s">
        <v>8</v>
      </c>
    </row>
    <row r="2" spans="1:10">
      <c r="A2" s="62" t="s">
        <v>2058</v>
      </c>
      <c r="B2" s="46" t="s">
        <v>379</v>
      </c>
      <c r="C2" s="46" t="s">
        <v>215</v>
      </c>
      <c r="D2" s="47" t="s">
        <v>1830</v>
      </c>
      <c r="E2" s="47" t="s">
        <v>1831</v>
      </c>
      <c r="F2" s="47" t="s">
        <v>12</v>
      </c>
      <c r="G2" s="49" t="s">
        <v>13</v>
      </c>
      <c r="H2" s="46" t="s"/>
      <c r="I2" s="46" t="s">
        <v>167</v>
      </c>
      <c r="J2" t="s">
        <f>=_xlfn.CONCAT(B2," AS ",E2,",")</f>
        <v>1832</v>
      </c>
    </row>
    <row r="3" spans="1:10">
      <c r="A3" s="345" t="s">
        <v>2058</v>
      </c>
      <c r="B3" s="346" t="s">
        <v>26</v>
      </c>
      <c r="C3" s="346" t="s">
        <v>385</v>
      </c>
      <c r="D3" s="46" t="s">
        <v>28</v>
      </c>
      <c r="E3" s="46" t="s">
        <v>29</v>
      </c>
      <c r="F3" s="44" t="s">
        <v>12</v>
      </c>
      <c r="G3" s="347" t="s">
        <v>13</v>
      </c>
      <c r="H3" s="46" t="s"/>
      <c r="I3" s="46" t="s">
        <v>167</v>
      </c>
      <c r="J3" t="s">
        <f>=_xlfn.CONCAT(B3," AS ",E3,",")</f>
        <v>1428</v>
      </c>
    </row>
    <row r="4" spans="1:10">
      <c r="A4" s="345" t="s">
        <v>2058</v>
      </c>
      <c r="B4" s="346" t="s">
        <v>36</v>
      </c>
      <c r="C4" s="346" t="s">
        <v>2059</v>
      </c>
      <c r="D4" s="48" t="s">
        <v>38</v>
      </c>
      <c r="E4" s="48" t="s">
        <v>39</v>
      </c>
      <c r="F4" s="47" t="s">
        <v>12</v>
      </c>
      <c r="G4" s="347" t="s">
        <v>13</v>
      </c>
      <c r="H4" s="46" t="s"/>
      <c r="I4" s="46" t="s">
        <v>167</v>
      </c>
      <c r="J4" t="s">
        <f>=_xlfn.CONCAT(B4," AS ",E4,",")</f>
        <v>1471</v>
      </c>
    </row>
    <row r="5" spans="1:10">
      <c r="A5" s="345" t="s">
        <v>2058</v>
      </c>
      <c r="B5" s="346" t="s">
        <v>391</v>
      </c>
      <c r="C5" s="346" t="s">
        <v>392</v>
      </c>
      <c r="D5" s="48" t="s">
        <v>278</v>
      </c>
      <c r="E5" s="48" t="s">
        <v>279</v>
      </c>
      <c r="F5" s="47" t="s">
        <v>12</v>
      </c>
      <c r="G5" s="347" t="s">
        <v>13</v>
      </c>
      <c r="H5" s="46" t="s"/>
      <c r="I5" s="46" t="s">
        <v>167</v>
      </c>
      <c r="J5" t="s">
        <f>=_xlfn.CONCAT(B5," AS ",E5,",")</f>
        <v>2060</v>
      </c>
    </row>
    <row r="6" spans="1:10">
      <c r="A6" s="345" t="s">
        <v>2058</v>
      </c>
      <c r="B6" s="346" t="s">
        <v>399</v>
      </c>
      <c r="C6" s="346" t="s">
        <v>400</v>
      </c>
      <c r="D6" s="48" t="s">
        <v>401</v>
      </c>
      <c r="E6" s="48" t="s">
        <v>402</v>
      </c>
      <c r="F6" s="47" t="s">
        <v>12</v>
      </c>
      <c r="G6" s="347" t="s">
        <v>13</v>
      </c>
      <c r="H6" s="46" t="s"/>
      <c r="I6" s="46" t="s">
        <v>167</v>
      </c>
      <c r="J6" t="s">
        <f>=_xlfn.CONCAT(B6," AS ",E6,",")</f>
        <v>2061</v>
      </c>
    </row>
    <row r="7" spans="1:10">
      <c r="A7" s="345" t="s">
        <v>2058</v>
      </c>
      <c r="B7" s="346" t="s">
        <v>427</v>
      </c>
      <c r="C7" s="346" t="s">
        <v>428</v>
      </c>
      <c r="D7" s="47" t="s">
        <v>428</v>
      </c>
      <c r="E7" s="48" t="s">
        <v>429</v>
      </c>
      <c r="F7" s="47" t="s">
        <v>12</v>
      </c>
      <c r="G7" s="347" t="s">
        <v>13</v>
      </c>
      <c r="H7" s="46" t="s"/>
      <c r="I7" s="46" t="s">
        <v>167</v>
      </c>
      <c r="J7" t="s">
        <f>=_xlfn.CONCAT(B7," AS ",E7,",")</f>
        <v>2062</v>
      </c>
    </row>
    <row r="8" spans="1:10">
      <c r="A8" s="345" t="s">
        <v>2058</v>
      </c>
      <c r="B8" s="346" t="s">
        <v>2063</v>
      </c>
      <c r="C8" s="346" t="s">
        <v>442</v>
      </c>
      <c r="D8" s="47" t="s">
        <v>443</v>
      </c>
      <c r="E8" s="48" t="s">
        <v>444</v>
      </c>
      <c r="F8" s="47" t="s">
        <v>12</v>
      </c>
      <c r="G8" s="347" t="s">
        <v>13</v>
      </c>
      <c r="H8" s="46" t="s"/>
      <c r="I8" s="46" t="s">
        <v>167</v>
      </c>
      <c r="J8" t="s">
        <f>=_xlfn.CONCAT(B8," AS ",E8,",")</f>
        <v>2064</v>
      </c>
    </row>
    <row r="9" spans="1:10">
      <c r="A9" s="345" t="s">
        <v>2058</v>
      </c>
      <c r="B9" s="346" t="s">
        <v>433</v>
      </c>
      <c r="C9" s="346" t="s">
        <v>434</v>
      </c>
      <c r="D9" s="348" t="s">
        <v>434</v>
      </c>
      <c r="E9" s="348" t="s">
        <v>435</v>
      </c>
      <c r="F9" s="47" t="s">
        <v>12</v>
      </c>
      <c r="G9" s="347" t="s">
        <v>13</v>
      </c>
      <c r="H9" s="46" t="s"/>
      <c r="I9" s="46" t="s">
        <v>167</v>
      </c>
      <c r="J9" t="s">
        <f>=_xlfn.CONCAT(B9," AS ",E9,",")</f>
        <v>1843</v>
      </c>
    </row>
    <row r="10" spans="1:10">
      <c r="A10" s="62" t="s">
        <v>2058</v>
      </c>
      <c r="B10" s="47" t="s">
        <v>2065</v>
      </c>
      <c r="C10" s="47" t="s">
        <v>2066</v>
      </c>
      <c r="D10" s="47" t="s">
        <v>2067</v>
      </c>
      <c r="E10" s="48" t="s">
        <v>2068</v>
      </c>
      <c r="F10" s="47" t="s">
        <v>618</v>
      </c>
      <c r="G10" s="349" t="s">
        <v>13</v>
      </c>
      <c r="H10" s="46" t="s"/>
      <c r="I10" s="46" t="s">
        <v>167</v>
      </c>
      <c r="J10" t="s">
        <f>=_xlfn.CONCAT(B10," AS ",E10,",")</f>
        <v>2069</v>
      </c>
    </row>
    <row r="11" spans="1:10">
      <c r="A11" s="62" t="s">
        <v>2058</v>
      </c>
      <c r="B11" s="47" t="s">
        <v>717</v>
      </c>
      <c r="C11" s="47" t="s">
        <v>2070</v>
      </c>
      <c r="D11" s="47" t="s">
        <v>719</v>
      </c>
      <c r="E11" s="64" t="s">
        <v>720</v>
      </c>
      <c r="F11" s="47" t="s">
        <v>258</v>
      </c>
      <c r="G11" s="349" t="s">
        <v>13</v>
      </c>
      <c r="H11" s="46" t="s"/>
      <c r="I11" s="46" t="s">
        <v>167</v>
      </c>
      <c r="J11" t="s">
        <f>=_xlfn.CONCAT(B11," AS ",E11,",")</f>
        <v>2071</v>
      </c>
    </row>
    <row r="12" spans="1:10">
      <c r="A12" s="62" t="s">
        <v>2058</v>
      </c>
      <c r="B12" s="47" t="s">
        <v>2072</v>
      </c>
      <c r="C12" s="47" t="s">
        <v>2073</v>
      </c>
      <c r="D12" s="47" t="s">
        <v>2073</v>
      </c>
      <c r="E12" s="48" t="s">
        <v>2074</v>
      </c>
      <c r="F12" s="47" t="s">
        <v>618</v>
      </c>
      <c r="G12" s="349" t="s">
        <v>13</v>
      </c>
      <c r="H12" s="46" t="s"/>
      <c r="I12" s="46" t="s">
        <v>167</v>
      </c>
      <c r="J12" t="s">
        <f>=_xlfn.CONCAT(B12," AS ",E12,",")</f>
        <v>2075</v>
      </c>
    </row>
    <row r="13" spans="1:10">
      <c r="A13" s="76" t="s">
        <v>2058</v>
      </c>
      <c r="B13" s="79" t="s">
        <v>404</v>
      </c>
      <c r="C13" s="79" t="s">
        <v>405</v>
      </c>
      <c r="D13" s="54" t="s">
        <v>288</v>
      </c>
      <c r="E13" s="54" t="s">
        <v>289</v>
      </c>
      <c r="F13" s="52" t="s">
        <v>12</v>
      </c>
      <c r="G13" s="350" t="s">
        <v>13</v>
      </c>
      <c r="H13" s="56" t="s"/>
      <c r="I13" s="56" t="s">
        <v>167</v>
      </c>
      <c r="J13" t="s">
        <f>=_xlfn.CONCAT(B13," AS ",E13,",")</f>
        <v>1457</v>
      </c>
    </row>
    <row r="14" spans="1:10">
      <c r="A14" s="76" t="s">
        <v>2058</v>
      </c>
      <c r="B14" s="79" t="s">
        <v>407</v>
      </c>
      <c r="C14" s="79" t="s">
        <v>408</v>
      </c>
      <c r="D14" s="54" t="s">
        <v>409</v>
      </c>
      <c r="E14" s="54" t="s">
        <v>410</v>
      </c>
      <c r="F14" s="52" t="s">
        <v>12</v>
      </c>
      <c r="G14" s="350" t="s">
        <v>13</v>
      </c>
      <c r="H14" s="56" t="s"/>
      <c r="I14" s="56" t="s">
        <v>167</v>
      </c>
      <c r="J14" t="s">
        <f>=_xlfn.CONCAT(B14," AS ",E14,",")</f>
        <v>2076</v>
      </c>
    </row>
    <row r="15" spans="1:10">
      <c r="A15" s="76" t="s">
        <v>2058</v>
      </c>
      <c r="B15" s="79" t="s">
        <v>412</v>
      </c>
      <c r="C15" s="79" t="s">
        <v>413</v>
      </c>
      <c r="D15" s="54" t="s">
        <v>414</v>
      </c>
      <c r="E15" s="54" t="s">
        <v>415</v>
      </c>
      <c r="F15" s="52" t="s">
        <v>12</v>
      </c>
      <c r="G15" s="350" t="s">
        <v>13</v>
      </c>
      <c r="H15" s="56" t="s"/>
      <c r="I15" s="56" t="s">
        <v>167</v>
      </c>
      <c r="J15" t="s">
        <f>=_xlfn.CONCAT(B15," AS ",E15,",")</f>
        <v>1468</v>
      </c>
    </row>
    <row r="16" spans="1:10">
      <c r="A16" s="76" t="s">
        <v>2058</v>
      </c>
      <c r="B16" s="79" t="s">
        <v>417</v>
      </c>
      <c r="C16" s="79" t="s">
        <v>418</v>
      </c>
      <c r="D16" s="54" t="s">
        <v>419</v>
      </c>
      <c r="E16" s="54" t="s">
        <v>420</v>
      </c>
      <c r="F16" s="52" t="s">
        <v>12</v>
      </c>
      <c r="G16" s="350" t="s">
        <v>13</v>
      </c>
      <c r="H16" s="56" t="s"/>
      <c r="I16" s="56" t="s">
        <v>167</v>
      </c>
      <c r="J16" t="s">
        <f>=_xlfn.CONCAT(B16," AS ",E16,",")</f>
        <v>2077</v>
      </c>
    </row>
    <row r="17" spans="1:10">
      <c r="A17" s="76" t="s">
        <v>2058</v>
      </c>
      <c r="B17" s="79" t="s">
        <v>422</v>
      </c>
      <c r="C17" s="351" t="s">
        <v>423</v>
      </c>
      <c r="D17" s="54" t="s">
        <v>424</v>
      </c>
      <c r="E17" s="54" t="s">
        <v>425</v>
      </c>
      <c r="F17" s="52" t="s">
        <v>12</v>
      </c>
      <c r="G17" s="350" t="s">
        <v>13</v>
      </c>
      <c r="H17" s="56" t="s"/>
      <c r="I17" s="56" t="s">
        <v>167</v>
      </c>
      <c r="J17" t="s">
        <f>=_xlfn.CONCAT(B17," AS ",E17,",")</f>
        <v>2078</v>
      </c>
    </row>
    <row r="18" spans="1:10">
      <c r="A18" s="76" t="s">
        <v>2058</v>
      </c>
      <c r="B18" s="79" t="s">
        <v>431</v>
      </c>
      <c r="C18" s="79" t="s">
        <v>431</v>
      </c>
      <c r="D18" s="54" t="s">
        <v>284</v>
      </c>
      <c r="E18" s="54" t="s">
        <v>285</v>
      </c>
      <c r="F18" s="52" t="s">
        <v>12</v>
      </c>
      <c r="G18" s="350" t="s">
        <v>13</v>
      </c>
      <c r="H18" s="56" t="s"/>
      <c r="I18" s="56" t="s">
        <v>167</v>
      </c>
      <c r="J18" t="s">
        <f>=_xlfn.CONCAT(B18," AS ",E18,",")</f>
        <v>1851</v>
      </c>
    </row>
    <row r="19" spans="1:10">
      <c r="A19" s="76" t="s">
        <v>2058</v>
      </c>
      <c r="B19" s="79" t="s">
        <v>459</v>
      </c>
      <c r="C19" s="79" t="s">
        <v>460</v>
      </c>
      <c r="D19" s="52" t="s">
        <v>460</v>
      </c>
      <c r="E19" s="54" t="s">
        <v>461</v>
      </c>
      <c r="F19" s="52" t="s">
        <v>12</v>
      </c>
      <c r="G19" s="350" t="s">
        <v>13</v>
      </c>
      <c r="H19" s="56" t="s"/>
      <c r="I19" s="56" t="s">
        <v>167</v>
      </c>
      <c r="J19" t="s">
        <f>=_xlfn.CONCAT(B19," AS ",E19,",")</f>
        <v>2079</v>
      </c>
    </row>
    <row r="20" spans="1:10">
      <c r="A20" s="76" t="s">
        <v>2058</v>
      </c>
      <c r="B20" s="79" t="s">
        <v>487</v>
      </c>
      <c r="C20" s="79" t="s">
        <v>488</v>
      </c>
      <c r="D20" s="52" t="s">
        <v>489</v>
      </c>
      <c r="E20" s="54" t="s">
        <v>490</v>
      </c>
      <c r="F20" s="52" t="s">
        <v>119</v>
      </c>
      <c r="G20" s="350" t="s">
        <v>13</v>
      </c>
      <c r="H20" s="56" t="s"/>
      <c r="I20" s="56" t="s">
        <v>167</v>
      </c>
      <c r="J20" t="s">
        <f>=_xlfn.CONCAT(B20," AS ",E20,",")</f>
        <v>2080</v>
      </c>
    </row>
    <row r="21" spans="1:10">
      <c r="A21" s="76" t="s">
        <v>2058</v>
      </c>
      <c r="B21" s="79" t="s">
        <v>492</v>
      </c>
      <c r="C21" s="79" t="s">
        <v>493</v>
      </c>
      <c r="D21" s="52" t="s">
        <v>494</v>
      </c>
      <c r="E21" s="54" t="s">
        <v>495</v>
      </c>
      <c r="F21" s="52" t="s">
        <v>119</v>
      </c>
      <c r="G21" s="350" t="s">
        <v>13</v>
      </c>
      <c r="H21" s="56" t="s"/>
      <c r="I21" s="56" t="s">
        <v>167</v>
      </c>
      <c r="J21" t="s">
        <f>=_xlfn.CONCAT(B21," AS ",E21,",")</f>
        <v>2081</v>
      </c>
    </row>
    <row r="22" spans="1:10">
      <c r="A22" s="62" t="s"/>
      <c r="B22" s="46" t="s"/>
      <c r="C22" s="46" t="s"/>
      <c r="D22" s="47" t="s">
        <v>323</v>
      </c>
      <c r="E22" s="64" t="s">
        <v>324</v>
      </c>
      <c r="F22" s="63" t="s">
        <v>12</v>
      </c>
      <c r="G22" s="46" t="s">
        <v>130</v>
      </c>
      <c r="H22" s="46" t="s">
        <v>210</v>
      </c>
      <c r="I22" s="46" t="s">
        <v>167</v>
      </c>
      <c r="J22" t="s">
        <f>=_xlfn.CONCAT(B22," AS ",E22,",")</f>
        <v>1451</v>
      </c>
    </row>
    <row r="23" spans="1:9">
      <c r="A23" s="62" t="s"/>
      <c r="B23" s="46" t="s"/>
      <c r="C23" s="46" t="s"/>
      <c r="D23" s="47" t="s"/>
      <c r="E23" s="47" t="s"/>
      <c r="F23" s="47" t="s"/>
      <c r="G23" s="46" t="s"/>
      <c r="H23" s="46" t="s"/>
      <c r="I23" s="46" t="s"/>
    </row>
  </sheetData>
</worksheet>
</file>

<file path=xl/worksheets/sheet11.xml><?xml version="1.0" encoding="utf-8"?>
<worksheet xmlns="http://schemas.openxmlformats.org/spreadsheetml/2006/main">
  <sheetPr codeName="metro item">
    <tabColor rgb="FFFFFFFF"/>
  </sheetPr>
  <dimension ref="I25"/>
  <sheetViews>
    <sheetView showGridLines="true" workbookViewId="0"/>
  </sheetViews>
  <sheetFormatPr baseColWidth="13" defaultRowHeight="18" customHeight="true"/>
  <cols>
    <col min="1" max="1" width="53.2812" customWidth="true"/>
    <col min="2" max="2" width="24.2812" customWidth="true"/>
    <col min="3" max="3" width="27.6523" customWidth="true"/>
    <col min="4" max="5" width="19.5508" customWidth="true"/>
    <col min="6" max="6" width="23.0625" customWidth="true"/>
    <col min="7" max="7" width="18.2109" customWidth="true"/>
    <col min="8" max="8" width="21.7109" customWidth="true"/>
    <col min="9" max="9" width="26.7031" customWidth="true"/>
  </cols>
  <sheetData>
    <row r="1" spans="1:9">
      <c r="A1" s="103" t="s">
        <v>1</v>
      </c>
      <c r="B1" s="103" t="s">
        <v>2</v>
      </c>
      <c r="C1" s="103" t="s">
        <v>202</v>
      </c>
      <c r="D1" s="103" t="s">
        <v>4</v>
      </c>
      <c r="E1" s="103" t="s">
        <v>5</v>
      </c>
      <c r="F1" s="103" t="s">
        <v>6</v>
      </c>
      <c r="G1" s="103" t="s">
        <v>7</v>
      </c>
      <c r="H1" s="103" t="s">
        <v>9</v>
      </c>
      <c r="I1" s="4" t="s">
        <v>8</v>
      </c>
    </row>
    <row r="2" spans="1:10">
      <c r="A2" s="46" t="s">
        <v>1829</v>
      </c>
      <c r="B2" s="44" t="s">
        <v>379</v>
      </c>
      <c r="C2" s="44" t="s">
        <v>215</v>
      </c>
      <c r="D2" s="47" t="s">
        <v>1830</v>
      </c>
      <c r="E2" s="47" t="s">
        <v>1831</v>
      </c>
      <c r="F2" s="47" t="s">
        <v>12</v>
      </c>
      <c r="G2" s="46" t="s">
        <v>13</v>
      </c>
      <c r="H2" s="46" t="s"/>
      <c r="I2" s="49" t="s">
        <v>170</v>
      </c>
      <c r="J2" t="s">
        <f>=_xlfn.CONCAT(B2," AS ",E2,",")</f>
        <v>1832</v>
      </c>
    </row>
    <row r="3" spans="1:10">
      <c r="A3" s="46" t="s">
        <v>1829</v>
      </c>
      <c r="B3" s="44" t="s">
        <v>26</v>
      </c>
      <c r="C3" s="44" t="s">
        <v>385</v>
      </c>
      <c r="D3" s="46" t="s">
        <v>28</v>
      </c>
      <c r="E3" s="46" t="s">
        <v>29</v>
      </c>
      <c r="F3" s="44" t="s">
        <v>12</v>
      </c>
      <c r="G3" s="46" t="s">
        <v>13</v>
      </c>
      <c r="H3" s="46" t="s"/>
      <c r="I3" s="49" t="s">
        <v>170</v>
      </c>
      <c r="J3" t="s">
        <f>=_xlfn.CONCAT(B3," AS ",E3,",")</f>
        <v>1428</v>
      </c>
    </row>
    <row r="4" spans="1:10">
      <c r="A4" s="46" t="s">
        <v>1829</v>
      </c>
      <c r="B4" s="44" t="s">
        <v>1833</v>
      </c>
      <c r="C4" s="44" t="s">
        <v>1834</v>
      </c>
      <c r="D4" s="44" t="s">
        <v>1834</v>
      </c>
      <c r="E4" s="46" t="s">
        <v>629</v>
      </c>
      <c r="F4" s="44" t="s">
        <v>85</v>
      </c>
      <c r="G4" s="46" t="s">
        <v>13</v>
      </c>
      <c r="H4" s="46" t="s"/>
      <c r="I4" s="49" t="s">
        <v>170</v>
      </c>
      <c r="J4" t="s">
        <f>=_xlfn.CONCAT(B4," AS ",E4,",")</f>
        <v>1835</v>
      </c>
    </row>
    <row r="5" spans="1:10">
      <c r="A5" s="46" t="s">
        <v>1829</v>
      </c>
      <c r="B5" s="44" t="s">
        <v>602</v>
      </c>
      <c r="C5" s="44" t="s">
        <v>1836</v>
      </c>
      <c r="D5" s="46" t="s">
        <v>603</v>
      </c>
      <c r="E5" s="46" t="s">
        <v>604</v>
      </c>
      <c r="F5" s="44" t="s">
        <v>12</v>
      </c>
      <c r="G5" s="46" t="s">
        <v>13</v>
      </c>
      <c r="H5" s="46" t="s"/>
      <c r="I5" s="49" t="s">
        <v>170</v>
      </c>
      <c r="J5" t="s">
        <f>=_xlfn.CONCAT(B5," AS ",E5,",")</f>
        <v>1837</v>
      </c>
    </row>
    <row r="6" spans="1:10">
      <c r="A6" s="46" t="s">
        <v>1829</v>
      </c>
      <c r="B6" s="44" t="s">
        <v>1838</v>
      </c>
      <c r="C6" s="44" t="s">
        <v>1839</v>
      </c>
      <c r="D6" s="46" t="s">
        <v>1839</v>
      </c>
      <c r="E6" s="46" t="s">
        <v>1840</v>
      </c>
      <c r="F6" s="44" t="s">
        <v>12</v>
      </c>
      <c r="G6" s="46" t="s">
        <v>13</v>
      </c>
      <c r="H6" s="46" t="s"/>
      <c r="I6" s="49" t="s">
        <v>170</v>
      </c>
      <c r="J6" t="s">
        <f>=_xlfn.CONCAT(B6," AS ",E6,",")</f>
        <v>1841</v>
      </c>
    </row>
    <row r="7" spans="1:10">
      <c r="A7" s="46" t="s">
        <v>1829</v>
      </c>
      <c r="B7" s="44" t="s">
        <v>728</v>
      </c>
      <c r="C7" s="44" t="s">
        <v>729</v>
      </c>
      <c r="D7" s="46" t="s">
        <v>730</v>
      </c>
      <c r="E7" s="46" t="s">
        <v>731</v>
      </c>
      <c r="F7" s="44" t="s">
        <v>12</v>
      </c>
      <c r="G7" s="46" t="s">
        <v>13</v>
      </c>
      <c r="H7" s="46" t="s"/>
      <c r="I7" s="49" t="s">
        <v>170</v>
      </c>
      <c r="J7" t="s">
        <f>=_xlfn.CONCAT(B7," AS ",E7,",")</f>
        <v>1842</v>
      </c>
    </row>
    <row r="8" spans="1:10">
      <c r="A8" s="46" t="s">
        <v>1829</v>
      </c>
      <c r="B8" s="44" t="s">
        <v>433</v>
      </c>
      <c r="C8" s="65" t="s">
        <v>434</v>
      </c>
      <c r="D8" s="51" t="s">
        <v>434</v>
      </c>
      <c r="E8" s="51" t="s">
        <v>435</v>
      </c>
      <c r="F8" s="44" t="s">
        <v>85</v>
      </c>
      <c r="G8" s="46" t="s">
        <v>13</v>
      </c>
      <c r="H8" s="46" t="s"/>
      <c r="I8" s="49" t="s">
        <v>170</v>
      </c>
      <c r="J8" t="s">
        <f>=_xlfn.CONCAT(B8," AS ",E8,",")</f>
        <v>1843</v>
      </c>
    </row>
    <row r="9" spans="1:10">
      <c r="A9" s="46" t="s">
        <v>1829</v>
      </c>
      <c r="B9" s="81" t="s">
        <v>1844</v>
      </c>
      <c r="C9" s="322" t="s">
        <v>1845</v>
      </c>
      <c r="D9" s="323" t="s">
        <v>1846</v>
      </c>
      <c r="E9" s="323" t="s">
        <v>1847</v>
      </c>
      <c r="F9" s="47" t="s">
        <v>12</v>
      </c>
      <c r="G9" s="46" t="s">
        <v>13</v>
      </c>
      <c r="H9" s="46" t="s"/>
      <c r="I9" s="49" t="s">
        <v>170</v>
      </c>
      <c r="J9" t="s">
        <f>=_xlfn.CONCAT(B9," AS ",E9,",")</f>
        <v>1848</v>
      </c>
    </row>
    <row r="10" spans="1:10">
      <c r="A10" s="46" t="s">
        <v>1829</v>
      </c>
      <c r="B10" s="44" t="s">
        <v>631</v>
      </c>
      <c r="C10" s="44" t="s">
        <v>632</v>
      </c>
      <c r="D10" s="44" t="s">
        <v>632</v>
      </c>
      <c r="E10" s="46" t="s">
        <v>633</v>
      </c>
      <c r="F10" s="44" t="s">
        <v>12</v>
      </c>
      <c r="G10" s="46" t="s">
        <v>13</v>
      </c>
      <c r="H10" s="46" t="s"/>
      <c r="I10" s="49" t="s">
        <v>170</v>
      </c>
      <c r="J10" t="s">
        <f>=_xlfn.CONCAT(B10," AS ",E10,",")</f>
        <v>1849</v>
      </c>
    </row>
    <row r="11" spans="1:10">
      <c r="A11" s="46" t="s">
        <v>1829</v>
      </c>
      <c r="B11" s="44" t="s">
        <v>36</v>
      </c>
      <c r="C11" s="44" t="s">
        <v>1470</v>
      </c>
      <c r="D11" s="46" t="s">
        <v>38</v>
      </c>
      <c r="E11" s="46" t="s">
        <v>39</v>
      </c>
      <c r="F11" s="44" t="s">
        <v>12</v>
      </c>
      <c r="G11" s="46" t="s">
        <v>13</v>
      </c>
      <c r="H11" s="46" t="s"/>
      <c r="I11" s="49" t="s">
        <v>170</v>
      </c>
      <c r="J11" t="s">
        <f>=_xlfn.CONCAT(B11," AS ",E11,",")</f>
        <v>1471</v>
      </c>
    </row>
    <row r="12" spans="1:10">
      <c r="A12" s="46" t="s">
        <v>1829</v>
      </c>
      <c r="B12" s="44" t="s">
        <v>76</v>
      </c>
      <c r="C12" s="44" t="s">
        <v>77</v>
      </c>
      <c r="D12" s="46" t="s">
        <v>638</v>
      </c>
      <c r="E12" s="46" t="s">
        <v>79</v>
      </c>
      <c r="F12" s="44" t="s">
        <v>12</v>
      </c>
      <c r="G12" s="46" t="s">
        <v>13</v>
      </c>
      <c r="H12" s="46" t="s"/>
      <c r="I12" s="49" t="s">
        <v>170</v>
      </c>
      <c r="J12" t="s">
        <f>=_xlfn.CONCAT(B12," AS ",E12,",")</f>
        <v>1850</v>
      </c>
    </row>
    <row r="13" spans="1:10">
      <c r="A13" s="46" t="s">
        <v>1829</v>
      </c>
      <c r="B13" s="44" t="s">
        <v>431</v>
      </c>
      <c r="C13" s="44" t="s">
        <v>431</v>
      </c>
      <c r="D13" s="46" t="s">
        <v>284</v>
      </c>
      <c r="E13" s="46" t="s">
        <v>285</v>
      </c>
      <c r="F13" s="44" t="s">
        <v>12</v>
      </c>
      <c r="G13" s="46" t="s">
        <v>13</v>
      </c>
      <c r="H13" s="46" t="s"/>
      <c r="I13" s="49" t="s">
        <v>170</v>
      </c>
      <c r="J13" t="s">
        <f>=_xlfn.CONCAT(B13," AS ",E13,",")</f>
        <v>1851</v>
      </c>
    </row>
    <row r="14" spans="1:10">
      <c r="A14" s="46" t="s">
        <v>1829</v>
      </c>
      <c r="B14" s="44" t="s">
        <v>41</v>
      </c>
      <c r="C14" s="44" t="s">
        <v>1476</v>
      </c>
      <c r="D14" s="46" t="s">
        <v>43</v>
      </c>
      <c r="E14" s="46" t="s">
        <v>44</v>
      </c>
      <c r="F14" s="44" t="s">
        <v>12</v>
      </c>
      <c r="G14" s="46" t="s">
        <v>13</v>
      </c>
      <c r="H14" s="46" t="s"/>
      <c r="I14" s="49" t="s">
        <v>170</v>
      </c>
      <c r="J14" t="s">
        <f>=_xlfn.CONCAT(B14," AS ",E14,",")</f>
        <v>1477</v>
      </c>
    </row>
    <row r="15" spans="1:10">
      <c r="A15" s="46" t="s">
        <v>1829</v>
      </c>
      <c r="B15" s="44" t="s">
        <v>614</v>
      </c>
      <c r="C15" s="44" t="s">
        <v>1852</v>
      </c>
      <c r="D15" s="46" t="s">
        <v>611</v>
      </c>
      <c r="E15" s="46" t="s">
        <v>612</v>
      </c>
      <c r="F15" s="44" t="s">
        <v>12</v>
      </c>
      <c r="G15" s="46" t="s">
        <v>13</v>
      </c>
      <c r="H15" s="46" t="s"/>
      <c r="I15" s="49" t="s">
        <v>170</v>
      </c>
      <c r="J15" t="s">
        <f>=_xlfn.CONCAT(B15," AS ",E15,",")</f>
        <v>1853</v>
      </c>
    </row>
    <row r="16" spans="1:10">
      <c r="A16" s="56" t="s">
        <v>1829</v>
      </c>
      <c r="B16" s="50" t="s">
        <v>46</v>
      </c>
      <c r="C16" s="50" t="s">
        <v>690</v>
      </c>
      <c r="D16" s="56" t="s">
        <v>691</v>
      </c>
      <c r="E16" s="56" t="s">
        <v>49</v>
      </c>
      <c r="F16" s="324" t="s">
        <v>85</v>
      </c>
      <c r="G16" s="107" t="s">
        <v>13</v>
      </c>
      <c r="H16" s="325" t="s"/>
      <c r="I16" s="326" t="s">
        <v>170</v>
      </c>
      <c r="J16" t="s">
        <f>=_xlfn.CONCAT(B16," AS ",E16,",")</f>
        <v>1854</v>
      </c>
    </row>
    <row r="17" spans="1:10">
      <c r="A17" s="56" t="s">
        <v>1829</v>
      </c>
      <c r="B17" s="50" t="s">
        <v>669</v>
      </c>
      <c r="C17" s="50" t="s">
        <v>670</v>
      </c>
      <c r="D17" s="56" t="s">
        <v>671</v>
      </c>
      <c r="E17" s="56" t="s">
        <v>672</v>
      </c>
      <c r="F17" s="324" t="s">
        <v>85</v>
      </c>
      <c r="G17" s="107" t="s">
        <v>13</v>
      </c>
      <c r="H17" s="325" t="s"/>
      <c r="I17" s="326" t="s">
        <v>170</v>
      </c>
      <c r="J17" t="s">
        <f>=_xlfn.CONCAT(B17," AS ",E17,",")</f>
        <v>1855</v>
      </c>
    </row>
    <row r="18" spans="1:10">
      <c r="A18" s="56" t="s">
        <v>1829</v>
      </c>
      <c r="B18" s="50" t="s">
        <v>649</v>
      </c>
      <c r="C18" s="50" t="s">
        <v>665</v>
      </c>
      <c r="D18" s="56" t="s">
        <v>1856</v>
      </c>
      <c r="E18" s="56" t="s">
        <v>1857</v>
      </c>
      <c r="F18" s="324" t="s">
        <v>85</v>
      </c>
      <c r="G18" s="107" t="s">
        <v>13</v>
      </c>
      <c r="H18" s="325" t="s"/>
      <c r="I18" s="326" t="s">
        <v>170</v>
      </c>
      <c r="J18" t="s">
        <f>=_xlfn.CONCAT(B18," AS ",E18,",")</f>
        <v>1858</v>
      </c>
    </row>
    <row r="19" spans="1:10">
      <c r="A19" s="56" t="s">
        <v>1829</v>
      </c>
      <c r="B19" s="50" t="s">
        <v>1485</v>
      </c>
      <c r="C19" s="50" t="s">
        <v>1485</v>
      </c>
      <c r="D19" s="56" t="s">
        <v>1859</v>
      </c>
      <c r="E19" s="56" t="s">
        <v>1859</v>
      </c>
      <c r="F19" s="324" t="s">
        <v>85</v>
      </c>
      <c r="G19" s="107" t="s">
        <v>13</v>
      </c>
      <c r="H19" s="325" t="s"/>
      <c r="I19" s="326" t="s">
        <v>170</v>
      </c>
      <c r="J19" t="s">
        <f>=_xlfn.CONCAT(B19," AS ",E19,",")</f>
        <v>1860</v>
      </c>
    </row>
    <row r="20" spans="1:10">
      <c r="A20" s="56" t="s">
        <v>1829</v>
      </c>
      <c r="B20" s="50" t="s">
        <v>81</v>
      </c>
      <c r="C20" s="50" t="s">
        <v>635</v>
      </c>
      <c r="D20" s="56" t="s">
        <v>1861</v>
      </c>
      <c r="E20" s="56" t="s">
        <v>84</v>
      </c>
      <c r="F20" s="324" t="s">
        <v>85</v>
      </c>
      <c r="G20" s="107" t="s">
        <v>13</v>
      </c>
      <c r="H20" s="325" t="s"/>
      <c r="I20" s="326" t="s">
        <v>170</v>
      </c>
      <c r="J20" t="s">
        <f>=_xlfn.CONCAT(B20," AS ",E20,",")</f>
        <v>1862</v>
      </c>
    </row>
    <row r="21" spans="1:10">
      <c r="A21" s="46" t="s">
        <v>1829</v>
      </c>
      <c r="B21" s="44" t="s">
        <v>505</v>
      </c>
      <c r="C21" s="44" t="s">
        <v>506</v>
      </c>
      <c r="D21" s="44" t="s">
        <v>1863</v>
      </c>
      <c r="E21" s="46" t="s">
        <v>1864</v>
      </c>
      <c r="F21" s="44" t="s">
        <v>119</v>
      </c>
      <c r="G21" s="46" t="s">
        <v>13</v>
      </c>
      <c r="H21" s="46" t="s"/>
      <c r="I21" s="49" t="s">
        <v>170</v>
      </c>
      <c r="J21" t="s">
        <f>=_xlfn.CONCAT(B21," AS ",E21,",")</f>
        <v>1865</v>
      </c>
    </row>
    <row r="22" spans="1:10">
      <c r="A22" s="264" t="s">
        <v>1829</v>
      </c>
      <c r="B22" s="265" t="s">
        <v>501</v>
      </c>
      <c r="C22" s="265" t="s">
        <v>502</v>
      </c>
      <c r="D22" s="265" t="s">
        <v>1866</v>
      </c>
      <c r="E22" s="264" t="s">
        <v>1867</v>
      </c>
      <c r="F22" s="265" t="s">
        <v>119</v>
      </c>
      <c r="G22" s="46" t="s">
        <v>13</v>
      </c>
      <c r="H22" s="46" t="s"/>
      <c r="I22" s="49" t="s">
        <v>170</v>
      </c>
      <c r="J22" t="s">
        <f>=_xlfn.CONCAT(B22," AS ",E22,",")</f>
        <v>1868</v>
      </c>
    </row>
    <row r="23" spans="1:10">
      <c r="A23" s="46" t="s">
        <v>1829</v>
      </c>
      <c r="B23" s="44" t="s">
        <v>509</v>
      </c>
      <c r="C23" s="44" t="s">
        <v>117</v>
      </c>
      <c r="D23" s="44" t="s">
        <v>1869</v>
      </c>
      <c r="E23" s="46" t="s">
        <v>1870</v>
      </c>
      <c r="F23" s="44" t="s">
        <v>119</v>
      </c>
      <c r="G23" s="46" t="s">
        <v>13</v>
      </c>
      <c r="H23" s="46" t="s"/>
      <c r="I23" s="49" t="s">
        <v>170</v>
      </c>
      <c r="J23" t="s">
        <f>=_xlfn.CONCAT(B23," AS ",E23,",")</f>
        <v>1871</v>
      </c>
    </row>
    <row r="24" spans="1:10">
      <c r="A24" s="46" t="s"/>
      <c r="B24" s="44" t="s"/>
      <c r="C24" s="44" t="s"/>
      <c r="D24" s="65" t="s">
        <v>323</v>
      </c>
      <c r="E24" s="46" t="s">
        <v>324</v>
      </c>
      <c r="F24" s="44" t="s">
        <v>12</v>
      </c>
      <c r="G24" s="46" t="s">
        <v>130</v>
      </c>
      <c r="H24" s="46" t="s">
        <v>1703</v>
      </c>
      <c r="I24" s="49" t="s">
        <v>170</v>
      </c>
      <c r="J24" t="s">
        <f>=_xlfn.CONCAT(B24," AS ",E24,",")</f>
        <v>1451</v>
      </c>
    </row>
    <row r="25" spans="1:9">
      <c r="A25" s="46" t="s"/>
      <c r="B25" s="44" t="s"/>
      <c r="C25" s="44" t="s"/>
      <c r="D25" s="65" t="s"/>
      <c r="E25" s="65" t="s"/>
      <c r="F25" s="65" t="s"/>
      <c r="G25" s="46" t="s"/>
      <c r="H25" s="46" t="s"/>
      <c r="I25" s="46" t="s"/>
    </row>
  </sheetData>
</worksheet>
</file>

<file path=xl/worksheets/sheet12.xml><?xml version="1.0" encoding="utf-8"?>
<worksheet xmlns="http://schemas.openxmlformats.org/spreadsheetml/2006/main">
  <sheetPr codeName="cp ">
    <tabColor rgb="FFFFFFFF"/>
  </sheetPr>
  <dimension ref="I14"/>
  <sheetViews>
    <sheetView showGridLines="true" workbookViewId="0"/>
  </sheetViews>
  <sheetFormatPr baseColWidth="13" defaultRowHeight="18" customHeight="true"/>
  <cols>
    <col min="1" max="1" width="41.5039" customWidth="true"/>
    <col min="2" max="2" width="26.3008" customWidth="true"/>
    <col min="3" max="3" width="34.1211" customWidth="true"/>
    <col min="4" max="4" width="17.6719" customWidth="true"/>
    <col min="5" max="5" width="25.8906" customWidth="true"/>
    <col min="9" max="9" width="27.7812" customWidth="true"/>
  </cols>
  <sheetData>
    <row r="1" spans="1:9">
      <c r="A1" s="4" t="s">
        <v>1</v>
      </c>
      <c r="B1" s="4" t="s">
        <v>2</v>
      </c>
      <c r="C1" s="4" t="s">
        <v>202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9</v>
      </c>
      <c r="I1" s="4" t="s">
        <v>8</v>
      </c>
    </row>
    <row r="2" spans="1:10">
      <c r="A2" s="388" t="s">
        <v>2768</v>
      </c>
      <c r="B2" s="80" t="s">
        <v>379</v>
      </c>
      <c r="C2" s="80" t="s">
        <v>215</v>
      </c>
      <c r="D2" s="80" t="s">
        <v>2769</v>
      </c>
      <c r="E2" s="80" t="s">
        <v>2770</v>
      </c>
      <c r="F2" s="346" t="s">
        <v>12</v>
      </c>
      <c r="G2" s="323" t="s">
        <v>13</v>
      </c>
      <c r="H2" s="323" t="s"/>
      <c r="I2" s="389" t="s">
        <v>173</v>
      </c>
      <c r="J2" t="s">
        <f>=_xlfn.CONCAT(B2," AS ",E2,",")</f>
        <v>2771</v>
      </c>
    </row>
    <row r="3" spans="1:10">
      <c r="A3" s="388" t="s">
        <v>2768</v>
      </c>
      <c r="B3" s="363" t="s">
        <v>36</v>
      </c>
      <c r="C3" s="363" t="s">
        <v>1470</v>
      </c>
      <c r="D3" s="389" t="s">
        <v>38</v>
      </c>
      <c r="E3" s="389" t="s">
        <v>39</v>
      </c>
      <c r="F3" s="346" t="s">
        <v>12</v>
      </c>
      <c r="G3" s="323" t="s">
        <v>13</v>
      </c>
      <c r="H3" s="323" t="s"/>
      <c r="I3" s="389" t="s">
        <v>173</v>
      </c>
      <c r="J3" t="s">
        <f>=_xlfn.CONCAT(B3," AS ",E3,",")</f>
        <v>1471</v>
      </c>
    </row>
    <row r="4" spans="1:10">
      <c r="A4" s="388" t="s">
        <v>2768</v>
      </c>
      <c r="B4" s="363" t="s">
        <v>2772</v>
      </c>
      <c r="C4" s="363" t="s">
        <v>2773</v>
      </c>
      <c r="D4" s="80" t="s">
        <v>2774</v>
      </c>
      <c r="E4" s="389" t="s">
        <v>2775</v>
      </c>
      <c r="F4" s="389" t="s">
        <v>12</v>
      </c>
      <c r="G4" s="323" t="s">
        <v>13</v>
      </c>
      <c r="H4" s="323" t="s"/>
      <c r="I4" s="389" t="s">
        <v>173</v>
      </c>
      <c r="J4" t="s">
        <f>=_xlfn.CONCAT(B4," AS ",E4,",")</f>
        <v>2776</v>
      </c>
    </row>
    <row r="5" spans="1:10">
      <c r="A5" s="388" t="s">
        <v>2768</v>
      </c>
      <c r="B5" s="363" t="s">
        <v>60</v>
      </c>
      <c r="C5" s="390" t="s">
        <v>2777</v>
      </c>
      <c r="D5" s="80" t="s">
        <v>62</v>
      </c>
      <c r="E5" s="80" t="s">
        <v>1422</v>
      </c>
      <c r="F5" s="389" t="s">
        <v>12</v>
      </c>
      <c r="G5" s="323" t="s">
        <v>13</v>
      </c>
      <c r="H5" s="323" t="s"/>
      <c r="I5" s="389" t="s">
        <v>173</v>
      </c>
      <c r="J5" t="s">
        <f>=_xlfn.CONCAT(B5," AS ",E5,",")</f>
        <v>1423</v>
      </c>
    </row>
    <row r="6" spans="1:10">
      <c r="A6" s="388" t="s">
        <v>2768</v>
      </c>
      <c r="B6" s="363" t="s">
        <v>2778</v>
      </c>
      <c r="C6" s="363" t="s"/>
      <c r="D6" s="80" t="s">
        <v>2779</v>
      </c>
      <c r="E6" s="323" t="s">
        <v>2780</v>
      </c>
      <c r="F6" s="80" t="s">
        <v>12</v>
      </c>
      <c r="G6" s="323" t="s">
        <v>13</v>
      </c>
      <c r="H6" s="323" t="s"/>
      <c r="I6" s="389" t="s">
        <v>173</v>
      </c>
      <c r="J6" t="s">
        <f>=_xlfn.CONCAT(B6," AS ",E6,",")</f>
        <v>2781</v>
      </c>
    </row>
    <row r="7" spans="1:10">
      <c r="A7" s="388" t="s">
        <v>2768</v>
      </c>
      <c r="B7" s="363" t="s">
        <v>2782</v>
      </c>
      <c r="C7" s="363" t="s"/>
      <c r="D7" s="80" t="s">
        <v>2783</v>
      </c>
      <c r="E7" s="80" t="s">
        <v>2784</v>
      </c>
      <c r="F7" s="80" t="s">
        <v>12</v>
      </c>
      <c r="G7" s="323" t="s">
        <v>13</v>
      </c>
      <c r="H7" s="323" t="s"/>
      <c r="I7" s="389" t="s">
        <v>173</v>
      </c>
      <c r="J7" t="s">
        <f>=_xlfn.CONCAT(B7," AS ",E7,",")</f>
        <v>2785</v>
      </c>
    </row>
    <row r="8" spans="1:10">
      <c r="A8" s="388" t="s">
        <v>2768</v>
      </c>
      <c r="B8" s="363" t="s">
        <v>2786</v>
      </c>
      <c r="C8" s="363" t="s">
        <v>2787</v>
      </c>
      <c r="D8" s="80" t="s">
        <v>2788</v>
      </c>
      <c r="E8" s="80" t="s">
        <v>2788</v>
      </c>
      <c r="F8" s="346" t="s">
        <v>767</v>
      </c>
      <c r="G8" s="323" t="s">
        <v>13</v>
      </c>
      <c r="H8" s="323" t="s"/>
      <c r="I8" s="389" t="s">
        <v>173</v>
      </c>
      <c r="J8" t="s">
        <f>=_xlfn.CONCAT(B8," AS ",E8,",")</f>
        <v>2789</v>
      </c>
    </row>
    <row r="9" spans="1:10">
      <c r="A9" s="388" t="s">
        <v>2768</v>
      </c>
      <c r="B9" s="363" t="s">
        <v>2790</v>
      </c>
      <c r="C9" s="363" t="s"/>
      <c r="D9" s="80" t="s">
        <v>2791</v>
      </c>
      <c r="E9" s="80" t="s">
        <v>2792</v>
      </c>
      <c r="F9" s="346" t="s">
        <v>767</v>
      </c>
      <c r="G9" s="323" t="s">
        <v>13</v>
      </c>
      <c r="H9" s="323" t="s"/>
      <c r="I9" s="389" t="s">
        <v>173</v>
      </c>
      <c r="J9" t="s">
        <f>=_xlfn.CONCAT(B9," AS ",E9,",")</f>
        <v>2793</v>
      </c>
    </row>
    <row r="10" spans="1:10">
      <c r="A10" s="388" t="s">
        <v>2768</v>
      </c>
      <c r="B10" s="363" t="s">
        <v>2794</v>
      </c>
      <c r="C10" s="363" t="s"/>
      <c r="D10" s="80" t="s">
        <v>502</v>
      </c>
      <c r="E10" s="391" t="s">
        <v>503</v>
      </c>
      <c r="F10" s="346" t="s">
        <v>119</v>
      </c>
      <c r="G10" s="323" t="s">
        <v>13</v>
      </c>
      <c r="H10" s="323" t="s"/>
      <c r="I10" s="389" t="s">
        <v>173</v>
      </c>
      <c r="J10" t="s">
        <f>=_xlfn.CONCAT(B10," AS ",E10,",")</f>
        <v>2795</v>
      </c>
    </row>
    <row r="11" spans="1:10">
      <c r="A11" s="388" t="s">
        <v>2768</v>
      </c>
      <c r="B11" s="363" t="s">
        <v>2796</v>
      </c>
      <c r="C11" s="363" t="s"/>
      <c r="D11" s="80" t="s">
        <v>506</v>
      </c>
      <c r="E11" s="389" t="s">
        <v>507</v>
      </c>
      <c r="F11" s="346" t="s">
        <v>119</v>
      </c>
      <c r="G11" s="323" t="s">
        <v>13</v>
      </c>
      <c r="H11" s="323" t="s"/>
      <c r="I11" s="389" t="s">
        <v>173</v>
      </c>
      <c r="J11" t="s">
        <f>=_xlfn.CONCAT(B11," AS ",E11,",")</f>
        <v>2797</v>
      </c>
    </row>
    <row r="12" spans="1:10">
      <c r="A12" s="87" t="s">
        <v>2768</v>
      </c>
      <c r="B12" s="354" t="s">
        <v>509</v>
      </c>
      <c r="C12" s="354" t="s">
        <v>117</v>
      </c>
      <c r="D12" s="354" t="s">
        <v>117</v>
      </c>
      <c r="E12" s="392" t="s">
        <v>118</v>
      </c>
      <c r="F12" s="63" t="s">
        <v>119</v>
      </c>
      <c r="G12" s="48" t="s">
        <v>13</v>
      </c>
      <c r="H12" s="48" t="s"/>
      <c r="I12" s="64" t="s">
        <v>173</v>
      </c>
      <c r="J12" t="s">
        <f>=_xlfn.CONCAT(B12," AS ",E12,",")</f>
        <v>1490</v>
      </c>
    </row>
    <row r="13" spans="1:10">
      <c r="A13" s="393" t="s"/>
      <c r="B13" s="394" t="s"/>
      <c r="C13" s="394" t="s"/>
      <c r="D13" s="284" t="s">
        <v>323</v>
      </c>
      <c r="E13" s="395" t="s">
        <v>324</v>
      </c>
      <c r="F13" s="396" t="s">
        <v>12</v>
      </c>
      <c r="G13" s="397" t="s">
        <v>13</v>
      </c>
      <c r="H13" s="395" t="s">
        <v>175</v>
      </c>
      <c r="I13" s="395" t="s">
        <v>173</v>
      </c>
      <c r="J13" t="s">
        <f>=_xlfn.CONCAT(B13," AS ",E13,",")</f>
        <v>1451</v>
      </c>
    </row>
    <row r="14" spans="1:9">
      <c r="A14" s="388" t="s"/>
      <c r="B14" s="346" t="s"/>
      <c r="C14" s="80" t="s"/>
      <c r="D14" s="80" t="s"/>
      <c r="E14" s="80" t="s"/>
      <c r="F14" s="80" t="s"/>
      <c r="G14" s="323" t="s"/>
      <c r="H14" s="323" t="s"/>
      <c r="I14" s="323" t="s"/>
    </row>
  </sheetData>
</worksheet>
</file>

<file path=xl/worksheets/sheet13.xml><?xml version="1.0" encoding="utf-8"?>
<worksheet xmlns="http://schemas.openxmlformats.org/spreadsheetml/2006/main">
  <sheetPr codeName="mat">
    <tabColor rgb="FFFFFFFF"/>
  </sheetPr>
  <dimension ref="D152"/>
  <sheetViews>
    <sheetView showGridLines="true" workbookViewId="0"/>
  </sheetViews>
  <sheetFormatPr baseColWidth="13" defaultRowHeight="18" customHeight="true"/>
  <cols>
    <col min="1" max="1" width="14.0234" customWidth="true"/>
    <col min="2" max="2" width="28.0508" customWidth="true"/>
    <col min="3" max="3" width="20.9844" customWidth="true"/>
    <col min="4" max="4" width="41.6836" customWidth="true"/>
    <col min="5" max="5" width="33.0938" customWidth="true"/>
    <col min="6" max="6" width="18.3906" customWidth="true"/>
    <col min="7" max="7" width="18.3906" customWidth="true"/>
    <col min="8" max="8" width="32.1836" customWidth="true"/>
    <col min="9" max="9" width="24.0742" customWidth="true"/>
    <col min="10" max="10" width="18.3906" customWidth="true"/>
    <col min="11" max="12" width="18.3906" customWidth="true"/>
    <col min="13" max="14" width="21.9922" customWidth="true"/>
    <col min="15" max="15" width="18.3906" customWidth="true"/>
    <col min="16" max="16" width="21.9922" customWidth="true"/>
    <col min="17" max="18" width="36.7109" customWidth="true"/>
    <col min="19" max="27" width="8.71094" customWidth="true"/>
  </cols>
  <sheetData>
    <row r="1" spans="1:27">
      <c r="A1" s="114" t="s">
        <v>2</v>
      </c>
      <c r="B1" s="115" t="s">
        <v>3</v>
      </c>
      <c r="C1" s="115" t="s">
        <v>273</v>
      </c>
      <c r="D1" s="115" t="s">
        <v>4</v>
      </c>
      <c r="E1" s="115" t="s">
        <v>5</v>
      </c>
      <c r="F1" s="115" t="s">
        <v>6</v>
      </c>
      <c r="G1" s="115" t="s">
        <v>7</v>
      </c>
      <c r="H1" s="115" t="s">
        <v>9</v>
      </c>
      <c r="I1" s="115" t="s">
        <v>8</v>
      </c>
      <c r="J1" s="115" t="s">
        <v>204</v>
      </c>
      <c r="K1" s="115" t="s">
        <v>774</v>
      </c>
      <c r="L1" s="116" t="s">
        <v>122</v>
      </c>
      <c r="M1" s="117" t="s"/>
      <c r="N1" s="117" t="s"/>
      <c r="O1" s="117" t="s"/>
      <c r="P1" s="118" t="s"/>
      <c r="Q1" s="118" t="s"/>
      <c r="R1" s="118" t="s"/>
      <c r="S1" s="118" t="s"/>
      <c r="T1" s="118" t="s"/>
      <c r="U1" s="118" t="s"/>
      <c r="V1" s="118" t="s"/>
      <c r="W1" s="118" t="s"/>
      <c r="X1" s="118" t="s"/>
      <c r="Y1" s="118" t="s"/>
      <c r="Z1" s="118" t="s"/>
      <c r="AA1" s="118" t="s"/>
    </row>
    <row r="2" spans="1:27">
      <c r="A2" s="119" t="s"/>
      <c r="B2" s="120" t="s"/>
      <c r="C2" s="120" t="s"/>
      <c r="D2" s="121" t="s">
        <v>775</v>
      </c>
      <c r="E2" s="122" t="s">
        <v>776</v>
      </c>
      <c r="F2" s="123" t="s">
        <v>12</v>
      </c>
      <c r="G2" s="123" t="s">
        <v>13</v>
      </c>
      <c r="H2" s="124" t="s">
        <v>777</v>
      </c>
      <c r="I2" s="123" t="s">
        <v>135</v>
      </c>
      <c r="J2" s="116" t="s">
        <v>778</v>
      </c>
      <c r="K2" s="120">
        <v>1</v>
      </c>
      <c r="L2" s="116" t="s"/>
      <c r="M2" s="117" t="s"/>
      <c r="N2" s="118" t="s"/>
      <c r="O2" s="118" t="s"/>
      <c r="P2" s="118" t="s"/>
      <c r="Q2" s="118" t="s"/>
      <c r="R2" s="118" t="s"/>
      <c r="S2" s="118" t="s"/>
      <c r="T2" s="118" t="s"/>
      <c r="U2" s="118" t="s"/>
      <c r="V2" s="118" t="s"/>
      <c r="W2" s="118" t="s"/>
      <c r="X2" s="118" t="s"/>
      <c r="Y2" s="118" t="s"/>
      <c r="Z2" s="118" t="s"/>
      <c r="AA2" s="118" t="s"/>
    </row>
    <row r="3" spans="1:27" s="31" customFormat="true">
      <c r="A3" s="125" t="s"/>
      <c r="B3" s="126" t="s"/>
      <c r="C3" s="126" t="s"/>
      <c r="D3" s="88" t="s">
        <v>779</v>
      </c>
      <c r="E3" s="88" t="s">
        <v>780</v>
      </c>
      <c r="F3" s="88" t="s">
        <v>12</v>
      </c>
      <c r="G3" s="88" t="s">
        <v>13</v>
      </c>
      <c r="H3" s="127" t="s">
        <v>777</v>
      </c>
      <c r="I3" s="88" t="s">
        <v>135</v>
      </c>
      <c r="J3" s="128" t="s">
        <v>778</v>
      </c>
      <c r="K3" s="129">
        <v>1</v>
      </c>
      <c r="L3" s="130" t="s"/>
      <c r="M3" s="131" t="s"/>
      <c r="N3" s="132" t="s"/>
      <c r="O3" s="132" t="s"/>
      <c r="P3" s="132" t="s"/>
      <c r="Q3" s="132" t="s"/>
      <c r="R3" s="132" t="s"/>
      <c r="S3" s="132" t="s"/>
      <c r="T3" s="132" t="s"/>
      <c r="U3" s="132" t="s"/>
      <c r="V3" s="132" t="s"/>
      <c r="W3" s="132" t="s"/>
      <c r="X3" s="132" t="s"/>
      <c r="Y3" s="132" t="s"/>
      <c r="Z3" s="132" t="s"/>
      <c r="AA3" s="132" t="s"/>
    </row>
    <row r="4" spans="1:27" ht="13.5" customHeight="true">
      <c r="A4" s="133" t="s"/>
      <c r="B4" s="129" t="s"/>
      <c r="C4" s="129" t="s"/>
      <c r="D4" s="134" t="s">
        <v>781</v>
      </c>
      <c r="E4" s="134" t="s">
        <v>782</v>
      </c>
      <c r="F4" s="134" t="s">
        <v>12</v>
      </c>
      <c r="G4" s="134" t="s">
        <v>13</v>
      </c>
      <c r="H4" s="135" t="s">
        <v>783</v>
      </c>
      <c r="I4" s="134" t="s">
        <v>135</v>
      </c>
      <c r="J4" s="116" t="s">
        <v>778</v>
      </c>
      <c r="K4" s="120">
        <v>1</v>
      </c>
      <c r="L4" s="116" t="s"/>
      <c r="M4" s="117" t="s"/>
      <c r="N4" s="118" t="s"/>
      <c r="O4" s="118" t="s"/>
      <c r="P4" s="118" t="s"/>
      <c r="Q4" s="118" t="s"/>
      <c r="R4" s="118" t="s"/>
      <c r="S4" s="118" t="s"/>
      <c r="T4" s="118" t="s"/>
      <c r="U4" s="118" t="s"/>
      <c r="V4" s="118" t="s"/>
      <c r="W4" s="118" t="s"/>
      <c r="X4" s="118" t="s"/>
      <c r="Y4" s="118" t="s"/>
      <c r="Z4" s="118" t="s"/>
      <c r="AA4" s="118" t="s"/>
    </row>
    <row r="5" spans="1:27" s="475" customFormat="true">
      <c r="A5" s="125" t="s"/>
      <c r="B5" s="126" t="s"/>
      <c r="C5" s="88" t="s"/>
      <c r="D5" s="127" t="s">
        <v>784</v>
      </c>
      <c r="E5" s="127" t="s">
        <v>785</v>
      </c>
      <c r="F5" s="88" t="s">
        <v>12</v>
      </c>
      <c r="G5" s="88" t="s">
        <v>13</v>
      </c>
      <c r="H5" s="127" t="s">
        <v>783</v>
      </c>
      <c r="I5" s="88" t="s">
        <v>135</v>
      </c>
      <c r="J5" s="136" t="s">
        <v>778</v>
      </c>
      <c r="K5" s="126">
        <v>3</v>
      </c>
      <c r="L5" s="130" t="s"/>
      <c r="M5" s="131" t="s"/>
      <c r="N5" s="132" t="s"/>
      <c r="O5" s="132" t="s"/>
      <c r="P5" s="132" t="s"/>
      <c r="Q5" s="132" t="s"/>
      <c r="R5" s="132" t="s"/>
      <c r="S5" s="132" t="s"/>
      <c r="T5" s="132" t="s"/>
      <c r="U5" s="132" t="s"/>
      <c r="V5" s="132" t="s"/>
      <c r="W5" s="132" t="s"/>
      <c r="X5" s="132" t="s"/>
      <c r="Y5" s="132" t="s"/>
      <c r="Z5" s="132" t="s"/>
      <c r="AA5" s="132" t="s"/>
    </row>
    <row r="6" spans="1:27" s="475" customFormat="true">
      <c r="A6" s="125" t="s"/>
      <c r="B6" s="126" t="s"/>
      <c r="C6" s="88" t="s"/>
      <c r="D6" s="127" t="s">
        <v>786</v>
      </c>
      <c r="E6" s="127" t="s">
        <v>787</v>
      </c>
      <c r="F6" s="88" t="s">
        <v>12</v>
      </c>
      <c r="G6" s="88" t="s">
        <v>13</v>
      </c>
      <c r="H6" s="127" t="s">
        <v>783</v>
      </c>
      <c r="I6" s="88" t="s">
        <v>135</v>
      </c>
      <c r="J6" s="136" t="s">
        <v>778</v>
      </c>
      <c r="K6" s="126">
        <v>3</v>
      </c>
      <c r="L6" s="130" t="s">
        <v>788</v>
      </c>
      <c r="M6" s="131" t="s"/>
      <c r="N6" s="132" t="s"/>
      <c r="O6" s="132" t="s"/>
      <c r="P6" s="132" t="s"/>
      <c r="Q6" s="132" t="s"/>
      <c r="R6" s="132" t="s"/>
      <c r="S6" s="132" t="s"/>
      <c r="T6" s="132" t="s"/>
      <c r="U6" s="132" t="s"/>
      <c r="V6" s="132" t="s"/>
      <c r="W6" s="132" t="s"/>
      <c r="X6" s="132" t="s"/>
      <c r="Y6" s="132" t="s"/>
      <c r="Z6" s="132" t="s"/>
      <c r="AA6" s="132" t="s"/>
    </row>
    <row r="7" spans="1:27" s="475" customFormat="true">
      <c r="A7" s="125" t="s"/>
      <c r="B7" s="126" t="s"/>
      <c r="C7" s="88" t="s"/>
      <c r="D7" s="127" t="s">
        <v>789</v>
      </c>
      <c r="E7" s="127" t="s">
        <v>790</v>
      </c>
      <c r="F7" s="88" t="s">
        <v>12</v>
      </c>
      <c r="G7" s="88" t="s">
        <v>13</v>
      </c>
      <c r="H7" s="127" t="s">
        <v>783</v>
      </c>
      <c r="I7" s="88" t="s">
        <v>135</v>
      </c>
      <c r="J7" s="137" t="s">
        <v>778</v>
      </c>
      <c r="K7" s="126">
        <v>3</v>
      </c>
      <c r="L7" s="138" t="s"/>
      <c r="M7" s="131" t="s"/>
      <c r="N7" s="132" t="s"/>
      <c r="O7" s="132" t="s"/>
      <c r="P7" s="132" t="s"/>
      <c r="Q7" s="132" t="s"/>
      <c r="R7" s="132" t="s"/>
      <c r="S7" s="132" t="s"/>
      <c r="T7" s="132" t="s"/>
      <c r="U7" s="132" t="s"/>
      <c r="V7" s="132" t="s"/>
      <c r="W7" s="132" t="s"/>
      <c r="X7" s="132" t="s"/>
      <c r="Y7" s="132" t="s"/>
      <c r="Z7" s="132" t="s"/>
      <c r="AA7" s="132" t="s"/>
    </row>
    <row r="8" spans="1:27">
      <c r="A8" s="133" t="s"/>
      <c r="B8" s="129" t="s"/>
      <c r="C8" s="134" t="s"/>
      <c r="D8" s="135" t="s">
        <v>791</v>
      </c>
      <c r="E8" s="135" t="s">
        <v>792</v>
      </c>
      <c r="F8" s="135" t="s">
        <v>258</v>
      </c>
      <c r="G8" s="134" t="s">
        <v>19</v>
      </c>
      <c r="H8" s="135" t="s">
        <v>793</v>
      </c>
      <c r="I8" s="134" t="s">
        <v>138</v>
      </c>
      <c r="J8" s="116" t="s">
        <v>778</v>
      </c>
      <c r="K8" s="120">
        <v>1</v>
      </c>
      <c r="L8" s="116" t="s"/>
      <c r="M8" s="117" t="s"/>
      <c r="N8" s="118" t="s"/>
      <c r="O8" s="118" t="s"/>
      <c r="P8" s="118" t="s"/>
      <c r="Q8" s="118" t="s"/>
      <c r="R8" s="118" t="s"/>
      <c r="S8" s="118" t="s"/>
      <c r="T8" s="118" t="s"/>
      <c r="U8" s="118" t="s"/>
      <c r="V8" s="118" t="s"/>
      <c r="W8" s="118" t="s"/>
      <c r="X8" s="118" t="s"/>
      <c r="Y8" s="118" t="s"/>
      <c r="Z8" s="118" t="s"/>
      <c r="AA8" s="118" t="s"/>
    </row>
    <row r="9" spans="1:27">
      <c r="A9" s="133" t="s"/>
      <c r="B9" s="129" t="s"/>
      <c r="C9" s="123" t="s"/>
      <c r="D9" s="135" t="s">
        <v>794</v>
      </c>
      <c r="E9" s="135" t="s">
        <v>795</v>
      </c>
      <c r="F9" s="135" t="s">
        <v>99</v>
      </c>
      <c r="G9" s="134" t="s">
        <v>19</v>
      </c>
      <c r="H9" s="135" t="s">
        <v>793</v>
      </c>
      <c r="I9" s="134" t="s">
        <v>138</v>
      </c>
      <c r="J9" s="116" t="s">
        <v>778</v>
      </c>
      <c r="K9" s="120">
        <v>1</v>
      </c>
      <c r="L9" s="116" t="s"/>
      <c r="M9" s="117" t="s"/>
      <c r="N9" s="118" t="s"/>
      <c r="O9" s="118" t="s"/>
      <c r="P9" s="118" t="s"/>
      <c r="Q9" s="118" t="s"/>
      <c r="R9" s="118" t="s"/>
      <c r="S9" s="118" t="s"/>
      <c r="T9" s="118" t="s"/>
      <c r="U9" s="118" t="s"/>
      <c r="V9" s="118" t="s"/>
      <c r="W9" s="118" t="s"/>
      <c r="X9" s="118" t="s"/>
      <c r="Y9" s="118" t="s"/>
      <c r="Z9" s="118" t="s"/>
      <c r="AA9" s="118" t="s"/>
    </row>
    <row r="10" spans="1:27">
      <c r="A10" s="133" t="s"/>
      <c r="B10" s="129" t="s"/>
      <c r="C10" s="123" t="s"/>
      <c r="D10" s="135" t="s">
        <v>796</v>
      </c>
      <c r="E10" s="135" t="s">
        <v>797</v>
      </c>
      <c r="F10" s="135" t="s">
        <v>99</v>
      </c>
      <c r="G10" s="134" t="s">
        <v>19</v>
      </c>
      <c r="H10" s="135" t="s">
        <v>793</v>
      </c>
      <c r="I10" s="134" t="s">
        <v>138</v>
      </c>
      <c r="J10" s="116" t="s">
        <v>778</v>
      </c>
      <c r="K10" s="120">
        <v>1</v>
      </c>
      <c r="L10" s="116" t="s"/>
      <c r="M10" s="117" t="s"/>
      <c r="N10" s="118" t="s"/>
      <c r="O10" s="118" t="s"/>
      <c r="P10" s="118" t="s"/>
      <c r="Q10" s="118" t="s"/>
      <c r="R10" s="118" t="s"/>
      <c r="S10" s="118" t="s"/>
      <c r="T10" s="118" t="s"/>
      <c r="U10" s="118" t="s"/>
      <c r="V10" s="118" t="s"/>
      <c r="W10" s="118" t="s"/>
      <c r="X10" s="118" t="s"/>
      <c r="Y10" s="118" t="s"/>
      <c r="Z10" s="118" t="s"/>
      <c r="AA10" s="118" t="s"/>
    </row>
    <row r="11" spans="1:27">
      <c r="A11" s="133" t="s"/>
      <c r="B11" s="129" t="s"/>
      <c r="C11" s="134" t="s"/>
      <c r="D11" s="135" t="s">
        <v>798</v>
      </c>
      <c r="E11" s="135" t="s">
        <v>799</v>
      </c>
      <c r="F11" s="135" t="s">
        <v>99</v>
      </c>
      <c r="G11" s="134" t="s">
        <v>19</v>
      </c>
      <c r="H11" s="135" t="s">
        <v>793</v>
      </c>
      <c r="I11" s="134" t="s">
        <v>138</v>
      </c>
      <c r="J11" s="116" t="s">
        <v>778</v>
      </c>
      <c r="K11" s="120">
        <v>1</v>
      </c>
      <c r="L11" s="116" t="s"/>
      <c r="M11" s="117" t="s"/>
      <c r="N11" s="118" t="s"/>
      <c r="O11" s="118" t="s"/>
      <c r="P11" s="118" t="s"/>
      <c r="Q11" s="118" t="s"/>
      <c r="R11" s="118" t="s"/>
      <c r="S11" s="118" t="s"/>
      <c r="T11" s="118" t="s"/>
      <c r="U11" s="118" t="s"/>
      <c r="V11" s="118" t="s"/>
      <c r="W11" s="118" t="s"/>
      <c r="X11" s="118" t="s"/>
      <c r="Y11" s="118" t="s"/>
      <c r="Z11" s="118" t="s"/>
      <c r="AA11" s="118" t="s"/>
    </row>
    <row r="12" spans="1:27">
      <c r="A12" s="133" t="s"/>
      <c r="B12" s="129" t="s"/>
      <c r="C12" s="134" t="s"/>
      <c r="D12" s="135" t="s">
        <v>800</v>
      </c>
      <c r="E12" s="135" t="s">
        <v>801</v>
      </c>
      <c r="F12" s="135" t="s">
        <v>99</v>
      </c>
      <c r="G12" s="134" t="s">
        <v>19</v>
      </c>
      <c r="H12" s="135" t="s">
        <v>793</v>
      </c>
      <c r="I12" s="134" t="s">
        <v>138</v>
      </c>
      <c r="J12" s="116" t="s">
        <v>778</v>
      </c>
      <c r="K12" s="120">
        <v>1</v>
      </c>
      <c r="L12" s="116" t="s"/>
      <c r="M12" s="117" t="s"/>
      <c r="N12" s="118" t="s"/>
      <c r="O12" s="118" t="s"/>
      <c r="P12" s="118" t="s"/>
      <c r="Q12" s="118" t="s"/>
      <c r="R12" s="118" t="s"/>
      <c r="S12" s="118" t="s"/>
      <c r="T12" s="118" t="s"/>
      <c r="U12" s="118" t="s"/>
      <c r="V12" s="118" t="s"/>
      <c r="W12" s="118" t="s"/>
      <c r="X12" s="118" t="s"/>
      <c r="Y12" s="118" t="s"/>
      <c r="Z12" s="118" t="s"/>
      <c r="AA12" s="118" t="s"/>
    </row>
    <row r="13" spans="1:27">
      <c r="A13" s="133" t="s"/>
      <c r="B13" s="129" t="s"/>
      <c r="C13" s="129" t="s"/>
      <c r="D13" s="135" t="s">
        <v>802</v>
      </c>
      <c r="E13" s="135" t="s">
        <v>803</v>
      </c>
      <c r="F13" s="135" t="s">
        <v>99</v>
      </c>
      <c r="G13" s="134" t="s">
        <v>19</v>
      </c>
      <c r="H13" s="135" t="s">
        <v>793</v>
      </c>
      <c r="I13" s="134" t="s">
        <v>138</v>
      </c>
      <c r="J13" s="116" t="s">
        <v>778</v>
      </c>
      <c r="K13" s="120">
        <v>1</v>
      </c>
      <c r="L13" s="116" t="s"/>
      <c r="M13" s="117" t="s"/>
      <c r="N13" s="118" t="s"/>
      <c r="O13" s="118" t="s"/>
      <c r="P13" s="118" t="s"/>
      <c r="Q13" s="118" t="s"/>
      <c r="R13" s="118" t="s"/>
      <c r="S13" s="118" t="s"/>
      <c r="T13" s="118" t="s"/>
      <c r="U13" s="118" t="s"/>
      <c r="V13" s="118" t="s"/>
      <c r="W13" s="118" t="s"/>
      <c r="X13" s="118" t="s"/>
      <c r="Y13" s="118" t="s"/>
      <c r="Z13" s="118" t="s"/>
      <c r="AA13" s="118" t="s"/>
    </row>
    <row r="14" spans="1:27">
      <c r="A14" s="133" t="s"/>
      <c r="B14" s="129" t="s"/>
      <c r="C14" s="129" t="s"/>
      <c r="D14" s="135" t="s">
        <v>804</v>
      </c>
      <c r="E14" s="135" t="s">
        <v>805</v>
      </c>
      <c r="F14" s="135" t="s">
        <v>99</v>
      </c>
      <c r="G14" s="134" t="s">
        <v>19</v>
      </c>
      <c r="H14" s="135" t="s">
        <v>793</v>
      </c>
      <c r="I14" s="134" t="s">
        <v>138</v>
      </c>
      <c r="J14" s="116" t="s">
        <v>778</v>
      </c>
      <c r="K14" s="120">
        <v>1</v>
      </c>
      <c r="L14" s="116" t="s"/>
      <c r="M14" s="118" t="s"/>
      <c r="N14" s="118" t="s"/>
      <c r="O14" s="118" t="s"/>
      <c r="P14" s="118" t="s"/>
      <c r="Q14" s="118" t="s"/>
      <c r="R14" s="118" t="s"/>
      <c r="S14" s="118" t="s"/>
      <c r="T14" s="118" t="s"/>
      <c r="U14" s="118" t="s"/>
      <c r="V14" s="118" t="s"/>
      <c r="W14" s="118" t="s"/>
      <c r="X14" s="118" t="s"/>
      <c r="Y14" s="118" t="s"/>
      <c r="Z14" s="118" t="s"/>
      <c r="AA14" s="118" t="s"/>
    </row>
    <row r="15" spans="1:27">
      <c r="A15" s="133" t="s"/>
      <c r="B15" s="129" t="s"/>
      <c r="C15" s="129" t="s"/>
      <c r="D15" s="135" t="s">
        <v>806</v>
      </c>
      <c r="E15" s="135" t="s">
        <v>807</v>
      </c>
      <c r="F15" s="135" t="s">
        <v>258</v>
      </c>
      <c r="G15" s="134" t="s">
        <v>19</v>
      </c>
      <c r="H15" s="135" t="s">
        <v>793</v>
      </c>
      <c r="I15" s="134" t="s">
        <v>138</v>
      </c>
      <c r="J15" s="116" t="s">
        <v>778</v>
      </c>
      <c r="K15" s="120">
        <v>1</v>
      </c>
      <c r="L15" s="116" t="s"/>
      <c r="M15" s="117" t="s"/>
      <c r="N15" s="118" t="s"/>
      <c r="O15" s="118" t="s"/>
      <c r="P15" s="118" t="s"/>
      <c r="Q15" s="118" t="s"/>
      <c r="R15" s="118" t="s"/>
      <c r="S15" s="118" t="s"/>
      <c r="T15" s="118" t="s"/>
      <c r="U15" s="118" t="s"/>
      <c r="V15" s="118" t="s"/>
      <c r="W15" s="118" t="s"/>
      <c r="X15" s="118" t="s"/>
      <c r="Y15" s="118" t="s"/>
      <c r="Z15" s="118" t="s"/>
      <c r="AA15" s="118" t="s"/>
    </row>
    <row r="16" spans="1:27">
      <c r="A16" s="133" t="s"/>
      <c r="B16" s="129" t="s"/>
      <c r="C16" s="129" t="s"/>
      <c r="D16" s="135" t="s">
        <v>808</v>
      </c>
      <c r="E16" s="135" t="s">
        <v>809</v>
      </c>
      <c r="F16" s="135" t="s">
        <v>258</v>
      </c>
      <c r="G16" s="134" t="s">
        <v>19</v>
      </c>
      <c r="H16" s="135" t="s">
        <v>793</v>
      </c>
      <c r="I16" s="134" t="s">
        <v>138</v>
      </c>
      <c r="J16" s="116" t="s">
        <v>778</v>
      </c>
      <c r="K16" s="120">
        <v>1</v>
      </c>
      <c r="L16" s="116" t="s"/>
      <c r="M16" s="117" t="s"/>
      <c r="N16" s="118" t="s"/>
      <c r="O16" s="118" t="s"/>
      <c r="P16" s="118" t="s"/>
      <c r="Q16" s="118" t="s"/>
      <c r="R16" s="118" t="s"/>
      <c r="S16" s="118" t="s"/>
      <c r="T16" s="118" t="s"/>
      <c r="U16" s="118" t="s"/>
      <c r="V16" s="118" t="s"/>
      <c r="W16" s="118" t="s"/>
      <c r="X16" s="118" t="s"/>
      <c r="Y16" s="118" t="s"/>
      <c r="Z16" s="118" t="s"/>
      <c r="AA16" s="118" t="s"/>
    </row>
    <row r="17" spans="1:27">
      <c r="A17" s="139" t="s"/>
      <c r="B17" s="140" t="s"/>
      <c r="C17" s="141" t="s"/>
      <c r="D17" s="142" t="s">
        <v>22</v>
      </c>
      <c r="E17" s="142" t="s">
        <v>23</v>
      </c>
      <c r="F17" s="142" t="s">
        <v>24</v>
      </c>
      <c r="G17" s="143" t="s">
        <v>19</v>
      </c>
      <c r="H17" s="140" t="s">
        <v>777</v>
      </c>
      <c r="I17" s="143" t="s">
        <v>138</v>
      </c>
      <c r="J17" s="116" t="s">
        <v>778</v>
      </c>
      <c r="K17" s="120">
        <v>1</v>
      </c>
      <c r="L17" s="116" t="s"/>
      <c r="M17" s="117" t="s"/>
      <c r="N17" s="118" t="s"/>
      <c r="O17" s="118" t="s"/>
      <c r="P17" s="118" t="s"/>
      <c r="Q17" s="118" t="s"/>
      <c r="R17" s="118" t="s"/>
      <c r="S17" s="118" t="s"/>
      <c r="T17" s="118" t="s"/>
      <c r="U17" s="118" t="s"/>
      <c r="V17" s="118" t="s"/>
      <c r="W17" s="118" t="s"/>
      <c r="X17" s="118" t="s"/>
      <c r="Y17" s="118" t="s"/>
      <c r="Z17" s="118" t="s"/>
      <c r="AA17" s="118" t="s"/>
    </row>
    <row r="18" spans="1:27" s="270" customFormat="true">
      <c r="A18" s="144" t="s"/>
      <c r="B18" s="145" t="s"/>
      <c r="C18" s="145" t="s"/>
      <c r="D18" s="146" t="s"/>
      <c r="E18" s="146" t="s">
        <v>225</v>
      </c>
      <c r="F18" s="146" t="s"/>
      <c r="G18" s="147" t="s">
        <v>19</v>
      </c>
      <c r="H18" s="145" t="s">
        <v>810</v>
      </c>
      <c r="I18" s="147" t="s">
        <v>138</v>
      </c>
      <c r="J18" s="148" t="s">
        <v>778</v>
      </c>
      <c r="K18" s="149">
        <v>1</v>
      </c>
      <c r="L18" s="150" t="s"/>
      <c r="M18" s="151" t="s"/>
      <c r="N18" s="152" t="s"/>
      <c r="O18" s="152" t="s"/>
      <c r="P18" s="152" t="s"/>
      <c r="Q18" s="152" t="s"/>
      <c r="R18" s="152" t="s"/>
      <c r="S18" s="152" t="s"/>
      <c r="T18" s="152" t="s"/>
      <c r="U18" s="152" t="s"/>
      <c r="V18" s="152" t="s"/>
      <c r="W18" s="152" t="s"/>
      <c r="X18" s="152" t="s"/>
      <c r="Y18" s="152" t="s"/>
      <c r="Z18" s="152" t="s"/>
      <c r="AA18" s="152" t="s"/>
    </row>
    <row r="19" spans="1:27" s="13" customFormat="true">
      <c r="A19" s="125" t="s"/>
      <c r="B19" s="126" t="s"/>
      <c r="C19" s="126" t="s"/>
      <c r="D19" s="88" t="s">
        <v>779</v>
      </c>
      <c r="E19" s="127" t="s">
        <v>780</v>
      </c>
      <c r="F19" s="127" t="s">
        <v>12</v>
      </c>
      <c r="G19" s="88" t="s">
        <v>19</v>
      </c>
      <c r="H19" s="126" t="s">
        <v>777</v>
      </c>
      <c r="I19" s="88" t="s">
        <v>138</v>
      </c>
      <c r="J19" s="128" t="s">
        <v>778</v>
      </c>
      <c r="K19" s="129">
        <v>1</v>
      </c>
      <c r="L19" s="130" t="s"/>
      <c r="M19" s="131" t="s"/>
      <c r="N19" s="132" t="s"/>
      <c r="O19" s="132" t="s"/>
      <c r="P19" s="132" t="s"/>
      <c r="Q19" s="132" t="s"/>
      <c r="R19" s="132" t="s"/>
      <c r="S19" s="132" t="s"/>
      <c r="T19" s="132" t="s"/>
      <c r="U19" s="132" t="s"/>
      <c r="V19" s="132" t="s"/>
      <c r="W19" s="132" t="s"/>
      <c r="X19" s="132" t="s"/>
      <c r="Y19" s="132" t="s"/>
      <c r="Z19" s="132" t="s"/>
      <c r="AA19" s="132" t="s"/>
    </row>
    <row r="20" spans="1:27">
      <c r="A20" s="139" t="s"/>
      <c r="B20" s="140" t="s"/>
      <c r="C20" s="140" t="s"/>
      <c r="D20" s="134" t="s">
        <v>811</v>
      </c>
      <c r="E20" s="134" t="s">
        <v>812</v>
      </c>
      <c r="F20" s="134" t="s">
        <v>258</v>
      </c>
      <c r="G20" s="134" t="s">
        <v>19</v>
      </c>
      <c r="H20" s="135" t="s">
        <v>793</v>
      </c>
      <c r="I20" s="143" t="s">
        <v>138</v>
      </c>
      <c r="J20" s="116" t="s">
        <v>778</v>
      </c>
      <c r="K20" s="120">
        <v>1</v>
      </c>
      <c r="L20" s="116" t="s"/>
      <c r="M20" s="117" t="s"/>
      <c r="N20" s="118" t="s"/>
      <c r="O20" s="118" t="s"/>
      <c r="P20" s="118" t="s"/>
      <c r="Q20" s="118" t="s"/>
      <c r="R20" s="118" t="s"/>
      <c r="S20" s="118" t="s"/>
      <c r="T20" s="118" t="s"/>
      <c r="U20" s="118" t="s"/>
      <c r="V20" s="118" t="s"/>
      <c r="W20" s="118" t="s"/>
      <c r="X20" s="118" t="s"/>
      <c r="Y20" s="118" t="s"/>
      <c r="Z20" s="118" t="s"/>
      <c r="AA20" s="118" t="s"/>
    </row>
    <row r="21" spans="1:27" s="318" customFormat="true">
      <c r="A21" s="133" t="s"/>
      <c r="B21" s="129" t="s"/>
      <c r="C21" s="129" t="s"/>
      <c r="D21" s="135" t="s">
        <v>813</v>
      </c>
      <c r="E21" s="135" t="s">
        <v>814</v>
      </c>
      <c r="F21" s="135" t="s">
        <v>258</v>
      </c>
      <c r="G21" s="134" t="s">
        <v>19</v>
      </c>
      <c r="H21" s="134" t="s">
        <v>815</v>
      </c>
      <c r="I21" s="143" t="s">
        <v>138</v>
      </c>
      <c r="J21" s="153" t="s">
        <v>778</v>
      </c>
      <c r="K21" s="129">
        <v>1</v>
      </c>
      <c r="L21" s="153" t="s"/>
      <c r="M21" s="154" t="s"/>
      <c r="N21" s="155" t="s"/>
      <c r="O21" s="155" t="s"/>
      <c r="P21" s="155" t="s"/>
      <c r="Q21" s="155" t="s"/>
      <c r="R21" s="155" t="s"/>
      <c r="S21" s="155" t="s"/>
      <c r="T21" s="155" t="s"/>
      <c r="U21" s="155" t="s"/>
      <c r="V21" s="155" t="s"/>
      <c r="W21" s="155" t="s"/>
      <c r="X21" s="155" t="s"/>
      <c r="Y21" s="155" t="s"/>
      <c r="Z21" s="155" t="s"/>
      <c r="AA21" s="155" t="s"/>
    </row>
    <row r="22" spans="1:27" s="305" customFormat="true">
      <c r="A22" s="156" t="s"/>
      <c r="B22" s="157" t="s"/>
      <c r="C22" s="157" t="s"/>
      <c r="D22" s="135" t="s">
        <v>816</v>
      </c>
      <c r="E22" s="135" t="s">
        <v>817</v>
      </c>
      <c r="F22" s="135" t="s">
        <v>258</v>
      </c>
      <c r="G22" s="135" t="s">
        <v>19</v>
      </c>
      <c r="H22" s="134" t="s">
        <v>815</v>
      </c>
      <c r="I22" s="135" t="s">
        <v>138</v>
      </c>
      <c r="J22" s="158" t="s">
        <v>778</v>
      </c>
      <c r="K22" s="159">
        <v>1</v>
      </c>
      <c r="L22" s="158" t="s"/>
      <c r="M22" s="160" t="s"/>
      <c r="N22" s="161" t="s"/>
      <c r="O22" s="161" t="s"/>
      <c r="P22" s="161" t="s"/>
      <c r="Q22" s="161" t="s"/>
      <c r="R22" s="161" t="s"/>
      <c r="S22" s="161" t="s"/>
      <c r="T22" s="161" t="s"/>
      <c r="U22" s="161" t="s"/>
      <c r="V22" s="161" t="s"/>
      <c r="W22" s="161" t="s"/>
      <c r="X22" s="161" t="s"/>
      <c r="Y22" s="161" t="s"/>
      <c r="Z22" s="161" t="s"/>
      <c r="AA22" s="161" t="s"/>
    </row>
    <row r="23" spans="1:27" s="305" customFormat="true">
      <c r="A23" s="156" t="s"/>
      <c r="B23" s="157" t="s"/>
      <c r="C23" s="157" t="s"/>
      <c r="D23" s="135" t="s">
        <v>818</v>
      </c>
      <c r="E23" s="135" t="s">
        <v>819</v>
      </c>
      <c r="F23" s="135" t="s">
        <v>258</v>
      </c>
      <c r="G23" s="135" t="s">
        <v>19</v>
      </c>
      <c r="H23" s="134" t="s">
        <v>815</v>
      </c>
      <c r="I23" s="135" t="s">
        <v>138</v>
      </c>
      <c r="J23" s="158" t="s">
        <v>778</v>
      </c>
      <c r="K23" s="159">
        <v>1</v>
      </c>
      <c r="L23" s="158" t="s"/>
      <c r="M23" s="160" t="s"/>
      <c r="N23" s="161" t="s"/>
      <c r="O23" s="161" t="s"/>
      <c r="P23" s="161" t="s"/>
      <c r="Q23" s="161" t="s"/>
      <c r="R23" s="161" t="s"/>
      <c r="S23" s="161" t="s"/>
      <c r="T23" s="161" t="s"/>
      <c r="U23" s="161" t="s"/>
      <c r="V23" s="161" t="s"/>
      <c r="W23" s="161" t="s"/>
      <c r="X23" s="161" t="s"/>
      <c r="Y23" s="161" t="s"/>
      <c r="Z23" s="161" t="s"/>
      <c r="AA23" s="161" t="s"/>
    </row>
    <row r="24" spans="1:27" s="305" customFormat="true">
      <c r="A24" s="156" t="s"/>
      <c r="B24" s="157" t="s"/>
      <c r="C24" s="157" t="s"/>
      <c r="D24" s="135" t="s">
        <v>820</v>
      </c>
      <c r="E24" s="135" t="s">
        <v>821</v>
      </c>
      <c r="F24" s="135" t="s">
        <v>258</v>
      </c>
      <c r="G24" s="135" t="s">
        <v>19</v>
      </c>
      <c r="H24" s="135" t="s">
        <v>822</v>
      </c>
      <c r="I24" s="135" t="s">
        <v>138</v>
      </c>
      <c r="J24" s="158" t="s">
        <v>778</v>
      </c>
      <c r="K24" s="159">
        <v>1</v>
      </c>
      <c r="L24" s="158" t="s"/>
      <c r="M24" s="160" t="s"/>
      <c r="N24" s="161" t="s"/>
      <c r="O24" s="161" t="s"/>
      <c r="P24" s="161" t="s"/>
      <c r="Q24" s="161" t="s"/>
      <c r="R24" s="161" t="s"/>
      <c r="S24" s="161" t="s"/>
      <c r="T24" s="161" t="s"/>
      <c r="U24" s="161" t="s"/>
      <c r="V24" s="161" t="s"/>
      <c r="W24" s="161" t="s"/>
      <c r="X24" s="161" t="s"/>
      <c r="Y24" s="161" t="s"/>
      <c r="Z24" s="161" t="s"/>
      <c r="AA24" s="161" t="s"/>
    </row>
    <row r="25" spans="1:27">
      <c r="A25" s="133" t="s"/>
      <c r="B25" s="129" t="s"/>
      <c r="C25" s="129" t="s"/>
      <c r="D25" s="135" t="s">
        <v>823</v>
      </c>
      <c r="E25" s="135" t="s">
        <v>824</v>
      </c>
      <c r="F25" s="135" t="s">
        <v>258</v>
      </c>
      <c r="G25" s="134" t="s">
        <v>19</v>
      </c>
      <c r="H25" s="135" t="s">
        <v>822</v>
      </c>
      <c r="I25" s="134" t="s">
        <v>138</v>
      </c>
      <c r="J25" s="116" t="s">
        <v>778</v>
      </c>
      <c r="K25" s="120">
        <v>1</v>
      </c>
      <c r="L25" s="116" t="s"/>
      <c r="M25" s="117" t="s"/>
      <c r="N25" s="118" t="s"/>
      <c r="O25" s="118" t="s"/>
      <c r="P25" s="118" t="s"/>
      <c r="Q25" s="118" t="s"/>
      <c r="R25" s="118" t="s"/>
      <c r="S25" s="118" t="s"/>
      <c r="T25" s="118" t="s"/>
      <c r="U25" s="118" t="s"/>
      <c r="V25" s="118" t="s"/>
      <c r="W25" s="118" t="s"/>
      <c r="X25" s="118" t="s"/>
      <c r="Y25" s="118" t="s"/>
      <c r="Z25" s="118" t="s"/>
      <c r="AA25" s="118" t="s"/>
    </row>
    <row r="26" spans="1:27">
      <c r="A26" s="133" t="s"/>
      <c r="B26" s="129" t="s"/>
      <c r="C26" s="129" t="s"/>
      <c r="D26" s="135" t="s">
        <v>825</v>
      </c>
      <c r="E26" s="135" t="s">
        <v>826</v>
      </c>
      <c r="F26" s="135" t="s">
        <v>258</v>
      </c>
      <c r="G26" s="134" t="s">
        <v>19</v>
      </c>
      <c r="H26" s="135" t="s">
        <v>822</v>
      </c>
      <c r="I26" s="134" t="s">
        <v>138</v>
      </c>
      <c r="J26" s="116" t="s">
        <v>778</v>
      </c>
      <c r="K26" s="120">
        <v>1</v>
      </c>
      <c r="L26" s="116" t="s"/>
      <c r="M26" s="117" t="s"/>
      <c r="N26" s="118" t="s"/>
      <c r="O26" s="118" t="s"/>
      <c r="P26" s="118" t="s"/>
      <c r="Q26" s="118" t="s"/>
      <c r="R26" s="118" t="s"/>
      <c r="S26" s="118" t="s"/>
      <c r="T26" s="118" t="s"/>
      <c r="U26" s="118" t="s"/>
      <c r="V26" s="118" t="s"/>
      <c r="W26" s="118" t="s"/>
      <c r="X26" s="118" t="s"/>
      <c r="Y26" s="118" t="s"/>
      <c r="Z26" s="118" t="s"/>
      <c r="AA26" s="118" t="s"/>
    </row>
    <row r="27" spans="1:27" s="305" customFormat="true">
      <c r="A27" s="162" t="s"/>
      <c r="B27" s="163" t="s"/>
      <c r="C27" s="164" t="s"/>
      <c r="D27" s="164" t="s">
        <v>827</v>
      </c>
      <c r="E27" s="164" t="s">
        <v>828</v>
      </c>
      <c r="F27" s="127" t="s">
        <v>12</v>
      </c>
      <c r="G27" s="88" t="s">
        <v>19</v>
      </c>
      <c r="H27" s="164" t="s">
        <v>829</v>
      </c>
      <c r="I27" s="134" t="s">
        <v>138</v>
      </c>
      <c r="J27" s="165" t="s">
        <v>778</v>
      </c>
      <c r="K27" s="166">
        <v>1</v>
      </c>
      <c r="L27" s="167" t="s"/>
      <c r="M27" s="168" t="s"/>
      <c r="N27" s="169" t="s"/>
      <c r="O27" s="169" t="s"/>
      <c r="P27" s="169" t="s"/>
      <c r="Q27" s="169" t="s"/>
      <c r="R27" s="169" t="s"/>
      <c r="S27" s="169" t="s"/>
      <c r="T27" s="169" t="s"/>
      <c r="U27" s="169" t="s"/>
      <c r="V27" s="169" t="s"/>
      <c r="W27" s="169" t="s"/>
      <c r="X27" s="169" t="s"/>
      <c r="Y27" s="169" t="s"/>
      <c r="Z27" s="169" t="s"/>
      <c r="AA27" s="169" t="s"/>
    </row>
    <row r="28" spans="1:27" s="476" customFormat="true">
      <c r="A28" s="170" t="s"/>
      <c r="B28" s="171" t="s">
        <v>830</v>
      </c>
      <c r="C28" s="172" t="s">
        <v>831</v>
      </c>
      <c r="D28" s="172" t="s">
        <v>832</v>
      </c>
      <c r="E28" s="172" t="s">
        <v>833</v>
      </c>
      <c r="F28" s="172" t="s">
        <v>258</v>
      </c>
      <c r="G28" s="172" t="s">
        <v>19</v>
      </c>
      <c r="H28" s="172" t="s">
        <v>834</v>
      </c>
      <c r="I28" s="172" t="s">
        <v>138</v>
      </c>
      <c r="J28" s="165" t="s">
        <v>778</v>
      </c>
      <c r="K28" s="166">
        <v>1</v>
      </c>
      <c r="L28" s="173" t="s"/>
      <c r="M28" s="174" t="s"/>
      <c r="N28" s="175" t="s"/>
      <c r="O28" s="175" t="s"/>
      <c r="P28" s="175" t="s"/>
      <c r="Q28" s="175" t="s"/>
      <c r="R28" s="175" t="s"/>
      <c r="S28" s="175" t="s"/>
      <c r="T28" s="175" t="s"/>
      <c r="U28" s="175" t="s"/>
      <c r="V28" s="175" t="s"/>
      <c r="W28" s="175" t="s"/>
      <c r="X28" s="175" t="s"/>
      <c r="Y28" s="175" t="s"/>
      <c r="Z28" s="175" t="s"/>
      <c r="AA28" s="175" t="s"/>
    </row>
    <row r="29" spans="1:27" s="477" customFormat="true">
      <c r="A29" s="176" t="s"/>
      <c r="B29" s="171" t="s">
        <v>830</v>
      </c>
      <c r="C29" s="172" t="s">
        <v>831</v>
      </c>
      <c r="D29" s="172" t="s">
        <v>835</v>
      </c>
      <c r="E29" s="172" t="s">
        <v>836</v>
      </c>
      <c r="F29" s="172" t="s">
        <v>258</v>
      </c>
      <c r="G29" s="172" t="s">
        <v>19</v>
      </c>
      <c r="H29" s="172" t="s">
        <v>837</v>
      </c>
      <c r="I29" s="172" t="s">
        <v>138</v>
      </c>
      <c r="J29" s="177" t="s">
        <v>778</v>
      </c>
      <c r="K29" s="178">
        <v>1</v>
      </c>
      <c r="L29" s="179" t="s"/>
      <c r="M29" s="180" t="s"/>
      <c r="N29" s="181" t="s"/>
      <c r="O29" s="181" t="s"/>
      <c r="P29" s="181" t="s"/>
      <c r="Q29" s="181" t="s"/>
      <c r="R29" s="181" t="s"/>
      <c r="S29" s="181" t="s"/>
      <c r="T29" s="181" t="s"/>
      <c r="U29" s="181" t="s"/>
      <c r="V29" s="181" t="s"/>
      <c r="W29" s="181" t="s"/>
      <c r="X29" s="181" t="s"/>
      <c r="Y29" s="181" t="s"/>
      <c r="Z29" s="181" t="s"/>
      <c r="AA29" s="181" t="s"/>
    </row>
    <row r="30" spans="1:27" s="476" customFormat="true">
      <c r="A30" s="170" t="s"/>
      <c r="B30" s="171" t="s">
        <v>830</v>
      </c>
      <c r="C30" s="172" t="s">
        <v>831</v>
      </c>
      <c r="D30" s="172" t="s">
        <v>838</v>
      </c>
      <c r="E30" s="172" t="s">
        <v>839</v>
      </c>
      <c r="F30" s="172" t="s">
        <v>258</v>
      </c>
      <c r="G30" s="172" t="s">
        <v>19</v>
      </c>
      <c r="H30" s="172" t="s">
        <v>834</v>
      </c>
      <c r="I30" s="172" t="s">
        <v>138</v>
      </c>
      <c r="J30" s="165" t="s">
        <v>778</v>
      </c>
      <c r="K30" s="166">
        <v>1</v>
      </c>
      <c r="L30" s="173" t="s"/>
      <c r="M30" s="174" t="s"/>
      <c r="N30" s="174" t="s"/>
      <c r="O30" s="175" t="s"/>
      <c r="P30" s="175" t="s"/>
      <c r="Q30" s="175" t="s"/>
      <c r="R30" s="175" t="s"/>
      <c r="S30" s="175" t="s"/>
      <c r="T30" s="175" t="s"/>
      <c r="U30" s="175" t="s"/>
      <c r="V30" s="175" t="s"/>
      <c r="W30" s="175" t="s"/>
      <c r="X30" s="175" t="s"/>
      <c r="Y30" s="175" t="s"/>
      <c r="Z30" s="175" t="s"/>
      <c r="AA30" s="175" t="s"/>
    </row>
    <row r="31" spans="1:27" s="476" customFormat="true">
      <c r="A31" s="170" t="s"/>
      <c r="B31" s="171" t="s">
        <v>830</v>
      </c>
      <c r="C31" s="172" t="s">
        <v>831</v>
      </c>
      <c r="D31" s="172" t="s">
        <v>840</v>
      </c>
      <c r="E31" s="172" t="s">
        <v>841</v>
      </c>
      <c r="F31" s="172" t="s">
        <v>258</v>
      </c>
      <c r="G31" s="172" t="s">
        <v>19</v>
      </c>
      <c r="H31" s="172" t="s">
        <v>834</v>
      </c>
      <c r="I31" s="172" t="s">
        <v>138</v>
      </c>
      <c r="J31" s="165" t="s">
        <v>778</v>
      </c>
      <c r="K31" s="166">
        <v>1</v>
      </c>
      <c r="L31" s="173" t="s"/>
      <c r="M31" s="174" t="s"/>
      <c r="N31" s="174" t="s"/>
      <c r="O31" s="175" t="s"/>
      <c r="P31" s="175" t="s"/>
      <c r="Q31" s="175" t="s"/>
      <c r="R31" s="175" t="s"/>
      <c r="S31" s="175" t="s"/>
      <c r="T31" s="175" t="s"/>
      <c r="U31" s="175" t="s"/>
      <c r="V31" s="175" t="s"/>
      <c r="W31" s="175" t="s"/>
      <c r="X31" s="175" t="s"/>
      <c r="Y31" s="175" t="s"/>
      <c r="Z31" s="175" t="s"/>
      <c r="AA31" s="175" t="s"/>
    </row>
    <row r="32" spans="1:27">
      <c r="A32" s="182" t="s"/>
      <c r="B32" s="178" t="s"/>
      <c r="C32" s="178" t="s"/>
      <c r="D32" s="166" t="s">
        <v>842</v>
      </c>
      <c r="E32" s="116" t="s">
        <v>843</v>
      </c>
      <c r="F32" s="116" t="s">
        <v>258</v>
      </c>
      <c r="G32" s="116" t="s">
        <v>19</v>
      </c>
      <c r="H32" s="116" t="s"/>
      <c r="I32" s="134" t="s">
        <v>138</v>
      </c>
      <c r="J32" s="116" t="s">
        <v>778</v>
      </c>
      <c r="K32" s="120">
        <v>1</v>
      </c>
      <c r="L32" s="116" t="s"/>
      <c r="M32" s="117" t="s"/>
      <c r="N32" s="118" t="s"/>
      <c r="O32" s="118" t="s"/>
      <c r="P32" s="118" t="s"/>
      <c r="Q32" s="118" t="s"/>
      <c r="R32" s="118" t="s"/>
      <c r="S32" s="118" t="s"/>
      <c r="T32" s="118" t="s"/>
      <c r="U32" s="118" t="s"/>
      <c r="V32" s="118" t="s"/>
      <c r="W32" s="118" t="s"/>
      <c r="X32" s="118" t="s"/>
      <c r="Y32" s="118" t="s"/>
      <c r="Z32" s="118" t="s"/>
      <c r="AA32" s="118" t="s"/>
    </row>
    <row r="33" spans="1:27">
      <c r="A33" s="182" t="s"/>
      <c r="B33" s="116" t="s"/>
      <c r="C33" s="116" t="s"/>
      <c r="D33" s="120" t="s">
        <v>844</v>
      </c>
      <c r="E33" s="116" t="s">
        <v>845</v>
      </c>
      <c r="F33" s="116" t="s">
        <v>258</v>
      </c>
      <c r="G33" s="116" t="s">
        <v>19</v>
      </c>
      <c r="H33" s="116" t="s"/>
      <c r="I33" s="123" t="s">
        <v>138</v>
      </c>
      <c r="J33" s="116" t="s">
        <v>778</v>
      </c>
      <c r="K33" s="120">
        <v>1</v>
      </c>
      <c r="L33" s="116" t="s"/>
      <c r="M33" s="117" t="s"/>
      <c r="N33" s="118" t="s"/>
      <c r="O33" s="118" t="s"/>
      <c r="P33" s="118" t="s"/>
      <c r="Q33" s="118" t="s"/>
      <c r="R33" s="118" t="s"/>
      <c r="S33" s="118" t="s"/>
      <c r="T33" s="118" t="s"/>
      <c r="U33" s="118" t="s"/>
      <c r="V33" s="118" t="s"/>
      <c r="W33" s="118" t="s"/>
      <c r="X33" s="118" t="s"/>
      <c r="Y33" s="118" t="s"/>
      <c r="Z33" s="118" t="s"/>
      <c r="AA33" s="118" t="s"/>
    </row>
    <row r="34" spans="1:27">
      <c r="A34" s="182" t="s"/>
      <c r="B34" s="116" t="s"/>
      <c r="C34" s="116" t="s"/>
      <c r="D34" s="120" t="s">
        <v>846</v>
      </c>
      <c r="E34" s="116" t="s">
        <v>847</v>
      </c>
      <c r="F34" s="116" t="s">
        <v>258</v>
      </c>
      <c r="G34" s="116" t="s">
        <v>19</v>
      </c>
      <c r="H34" s="116" t="s"/>
      <c r="I34" s="123" t="s">
        <v>138</v>
      </c>
      <c r="J34" s="116" t="s">
        <v>778</v>
      </c>
      <c r="K34" s="120">
        <v>1</v>
      </c>
      <c r="L34" s="116" t="s"/>
      <c r="M34" s="117" t="s"/>
      <c r="N34" s="118" t="s"/>
      <c r="O34" s="118" t="s"/>
      <c r="P34" s="118" t="s"/>
      <c r="Q34" s="118" t="s"/>
      <c r="R34" s="118" t="s"/>
      <c r="S34" s="118" t="s"/>
      <c r="T34" s="118" t="s"/>
      <c r="U34" s="118" t="s"/>
      <c r="V34" s="118" t="s"/>
      <c r="W34" s="118" t="s"/>
      <c r="X34" s="118" t="s"/>
      <c r="Y34" s="118" t="s"/>
      <c r="Z34" s="118" t="s"/>
      <c r="AA34" s="118" t="s"/>
    </row>
    <row r="35" spans="1:27">
      <c r="A35" s="182" t="s"/>
      <c r="B35" s="116" t="s"/>
      <c r="C35" s="116" t="s"/>
      <c r="D35" s="120" t="s">
        <v>848</v>
      </c>
      <c r="E35" s="116" t="s">
        <v>849</v>
      </c>
      <c r="F35" s="116" t="s">
        <v>258</v>
      </c>
      <c r="G35" s="116" t="s">
        <v>19</v>
      </c>
      <c r="H35" s="116" t="s"/>
      <c r="I35" s="123" t="s">
        <v>138</v>
      </c>
      <c r="J35" s="116" t="s">
        <v>778</v>
      </c>
      <c r="K35" s="120">
        <v>1</v>
      </c>
      <c r="L35" s="116" t="s"/>
      <c r="M35" s="117" t="s"/>
      <c r="N35" s="118" t="s"/>
      <c r="O35" s="118" t="s"/>
      <c r="P35" s="118" t="s"/>
      <c r="Q35" s="118" t="s"/>
      <c r="R35" s="118" t="s"/>
      <c r="S35" s="118" t="s"/>
      <c r="T35" s="118" t="s"/>
      <c r="U35" s="118" t="s"/>
      <c r="V35" s="118" t="s"/>
      <c r="W35" s="118" t="s"/>
      <c r="X35" s="118" t="s"/>
      <c r="Y35" s="118" t="s"/>
      <c r="Z35" s="118" t="s"/>
      <c r="AA35" s="118" t="s"/>
    </row>
    <row r="36" spans="1:27">
      <c r="A36" s="182" t="s"/>
      <c r="B36" s="116" t="s"/>
      <c r="C36" s="116" t="s"/>
      <c r="D36" s="120" t="s">
        <v>850</v>
      </c>
      <c r="E36" s="116" t="s">
        <v>851</v>
      </c>
      <c r="F36" s="116" t="s">
        <v>258</v>
      </c>
      <c r="G36" s="116" t="s">
        <v>19</v>
      </c>
      <c r="H36" s="116" t="s"/>
      <c r="I36" s="123" t="s">
        <v>138</v>
      </c>
      <c r="J36" s="116" t="s">
        <v>778</v>
      </c>
      <c r="K36" s="120">
        <v>1</v>
      </c>
      <c r="L36" s="116" t="s"/>
      <c r="M36" s="117" t="s"/>
      <c r="N36" s="118" t="s"/>
      <c r="O36" s="118" t="s"/>
      <c r="P36" s="118" t="s"/>
      <c r="Q36" s="118" t="s"/>
      <c r="R36" s="118" t="s"/>
      <c r="S36" s="118" t="s"/>
      <c r="T36" s="118" t="s"/>
      <c r="U36" s="118" t="s"/>
      <c r="V36" s="118" t="s"/>
      <c r="W36" s="118" t="s"/>
      <c r="X36" s="118" t="s"/>
      <c r="Y36" s="118" t="s"/>
      <c r="Z36" s="118" t="s"/>
      <c r="AA36" s="118" t="s"/>
    </row>
    <row r="37" spans="1:27">
      <c r="A37" s="182" t="s"/>
      <c r="B37" s="116" t="s"/>
      <c r="C37" s="116" t="s"/>
      <c r="D37" s="120" t="s">
        <v>852</v>
      </c>
      <c r="E37" s="116" t="s">
        <v>853</v>
      </c>
      <c r="F37" s="116" t="s">
        <v>258</v>
      </c>
      <c r="G37" s="116" t="s">
        <v>19</v>
      </c>
      <c r="H37" s="116" t="s"/>
      <c r="I37" s="123" t="s">
        <v>138</v>
      </c>
      <c r="J37" s="116" t="s">
        <v>778</v>
      </c>
      <c r="K37" s="120">
        <v>1</v>
      </c>
      <c r="L37" s="116" t="s"/>
      <c r="M37" s="117" t="s"/>
      <c r="N37" s="118" t="s"/>
      <c r="O37" s="118" t="s"/>
      <c r="P37" s="118" t="s"/>
      <c r="Q37" s="118" t="s"/>
      <c r="R37" s="118" t="s"/>
      <c r="S37" s="118" t="s"/>
      <c r="T37" s="118" t="s"/>
      <c r="U37" s="118" t="s"/>
      <c r="V37" s="118" t="s"/>
      <c r="W37" s="118" t="s"/>
      <c r="X37" s="118" t="s"/>
      <c r="Y37" s="118" t="s"/>
      <c r="Z37" s="118" t="s"/>
      <c r="AA37" s="118" t="s"/>
    </row>
    <row r="38" spans="1:27">
      <c r="A38" s="182" t="s"/>
      <c r="B38" s="116" t="s"/>
      <c r="C38" s="116" t="s"/>
      <c r="D38" s="166" t="s">
        <v>854</v>
      </c>
      <c r="E38" s="116" t="s">
        <v>855</v>
      </c>
      <c r="F38" s="116" t="s">
        <v>258</v>
      </c>
      <c r="G38" s="116" t="s">
        <v>19</v>
      </c>
      <c r="H38" s="116" t="s"/>
      <c r="I38" s="123" t="s">
        <v>138</v>
      </c>
      <c r="J38" s="116" t="s">
        <v>778</v>
      </c>
      <c r="K38" s="120">
        <v>1</v>
      </c>
      <c r="L38" s="116" t="s"/>
      <c r="M38" s="118" t="s"/>
      <c r="N38" s="118" t="s"/>
      <c r="O38" s="118" t="s"/>
      <c r="P38" s="118" t="s"/>
      <c r="Q38" s="118" t="s"/>
      <c r="R38" s="118" t="s"/>
      <c r="S38" s="118" t="s"/>
      <c r="T38" s="118" t="s"/>
      <c r="U38" s="118" t="s"/>
      <c r="V38" s="118" t="s"/>
      <c r="W38" s="118" t="s"/>
      <c r="X38" s="118" t="s"/>
      <c r="Y38" s="118" t="s"/>
      <c r="Z38" s="118" t="s"/>
      <c r="AA38" s="118" t="s"/>
    </row>
    <row r="39" spans="1:27">
      <c r="A39" s="182" t="s"/>
      <c r="B39" s="116" t="s"/>
      <c r="C39" s="116" t="s"/>
      <c r="D39" s="116" t="s">
        <v>856</v>
      </c>
      <c r="E39" s="116" t="s">
        <v>857</v>
      </c>
      <c r="F39" s="116" t="s">
        <v>258</v>
      </c>
      <c r="G39" s="116" t="s">
        <v>19</v>
      </c>
      <c r="H39" s="116" t="s"/>
      <c r="I39" s="123" t="s">
        <v>138</v>
      </c>
      <c r="J39" s="116" t="s">
        <v>778</v>
      </c>
      <c r="K39" s="120">
        <v>1</v>
      </c>
      <c r="L39" s="116" t="s"/>
      <c r="M39" s="118" t="s"/>
      <c r="N39" s="118" t="s"/>
      <c r="O39" s="118" t="s"/>
      <c r="P39" s="118" t="s"/>
      <c r="Q39" s="118" t="s"/>
      <c r="R39" s="118" t="s"/>
      <c r="S39" s="118" t="s"/>
      <c r="T39" s="118" t="s"/>
      <c r="U39" s="118" t="s"/>
      <c r="V39" s="118" t="s"/>
      <c r="W39" s="118" t="s"/>
      <c r="X39" s="118" t="s"/>
      <c r="Y39" s="118" t="s"/>
      <c r="Z39" s="118" t="s"/>
      <c r="AA39" s="118" t="s"/>
    </row>
    <row r="40" spans="1:27">
      <c r="A40" s="182" t="s"/>
      <c r="B40" s="116" t="s"/>
      <c r="C40" s="116" t="s"/>
      <c r="D40" s="116" t="s">
        <v>858</v>
      </c>
      <c r="E40" s="116" t="s">
        <v>859</v>
      </c>
      <c r="F40" s="116" t="s">
        <v>258</v>
      </c>
      <c r="G40" s="116" t="s">
        <v>19</v>
      </c>
      <c r="H40" s="116" t="s"/>
      <c r="I40" s="123" t="s">
        <v>138</v>
      </c>
      <c r="J40" s="116" t="s">
        <v>778</v>
      </c>
      <c r="K40" s="120">
        <v>1</v>
      </c>
      <c r="L40" s="116" t="s"/>
      <c r="M40" s="118" t="s"/>
      <c r="N40" s="118" t="s"/>
      <c r="O40" s="118" t="s"/>
      <c r="P40" s="118" t="s"/>
      <c r="Q40" s="118" t="s"/>
      <c r="R40" s="118" t="s"/>
      <c r="S40" s="118" t="s"/>
      <c r="T40" s="118" t="s"/>
      <c r="U40" s="118" t="s"/>
      <c r="V40" s="118" t="s"/>
      <c r="W40" s="118" t="s"/>
      <c r="X40" s="118" t="s"/>
      <c r="Y40" s="118" t="s"/>
      <c r="Z40" s="118" t="s"/>
      <c r="AA40" s="118" t="s"/>
    </row>
    <row r="41" spans="1:27">
      <c r="A41" s="182" t="s"/>
      <c r="B41" s="116" t="s"/>
      <c r="C41" s="116" t="s"/>
      <c r="D41" s="116" t="s">
        <v>860</v>
      </c>
      <c r="E41" s="116" t="s">
        <v>861</v>
      </c>
      <c r="F41" s="116" t="s">
        <v>258</v>
      </c>
      <c r="G41" s="116" t="s">
        <v>19</v>
      </c>
      <c r="H41" s="116" t="s"/>
      <c r="I41" s="123" t="s">
        <v>138</v>
      </c>
      <c r="J41" s="116" t="s">
        <v>778</v>
      </c>
      <c r="K41" s="120">
        <v>1</v>
      </c>
      <c r="L41" s="116" t="s"/>
      <c r="M41" s="118" t="s"/>
      <c r="N41" s="118" t="s"/>
      <c r="O41" s="118" t="s"/>
      <c r="P41" s="118" t="s"/>
      <c r="Q41" s="118" t="s"/>
      <c r="R41" s="118" t="s"/>
      <c r="S41" s="118" t="s"/>
      <c r="T41" s="118" t="s"/>
      <c r="U41" s="118" t="s"/>
      <c r="V41" s="118" t="s"/>
      <c r="W41" s="118" t="s"/>
      <c r="X41" s="118" t="s"/>
      <c r="Y41" s="118" t="s"/>
      <c r="Z41" s="118" t="s"/>
      <c r="AA41" s="118" t="s"/>
    </row>
    <row r="42" spans="1:27">
      <c r="A42" s="182" t="s"/>
      <c r="B42" s="116" t="s"/>
      <c r="C42" s="116" t="s"/>
      <c r="D42" s="116" t="s">
        <v>862</v>
      </c>
      <c r="E42" s="116" t="s">
        <v>863</v>
      </c>
      <c r="F42" s="116" t="s">
        <v>258</v>
      </c>
      <c r="G42" s="116" t="s">
        <v>19</v>
      </c>
      <c r="H42" s="116" t="s"/>
      <c r="I42" s="123" t="s">
        <v>138</v>
      </c>
      <c r="J42" s="116" t="s">
        <v>778</v>
      </c>
      <c r="K42" s="120">
        <v>1</v>
      </c>
      <c r="L42" s="116" t="s"/>
      <c r="M42" s="118" t="s"/>
      <c r="N42" s="118" t="s"/>
      <c r="O42" s="118" t="s"/>
      <c r="P42" s="118" t="s"/>
      <c r="Q42" s="118" t="s"/>
      <c r="R42" s="118" t="s"/>
      <c r="S42" s="118" t="s"/>
      <c r="T42" s="118" t="s"/>
      <c r="U42" s="118" t="s"/>
      <c r="V42" s="118" t="s"/>
      <c r="W42" s="118" t="s"/>
      <c r="X42" s="118" t="s"/>
      <c r="Y42" s="118" t="s"/>
      <c r="Z42" s="118" t="s"/>
      <c r="AA42" s="118" t="s"/>
    </row>
    <row r="43" spans="1:27" ht="16.5" customHeight="true">
      <c r="A43" s="182" t="s"/>
      <c r="B43" s="116" t="s"/>
      <c r="C43" s="116" t="s"/>
      <c r="D43" s="116" t="s">
        <v>864</v>
      </c>
      <c r="E43" s="116" t="s">
        <v>865</v>
      </c>
      <c r="F43" s="116" t="s">
        <v>258</v>
      </c>
      <c r="G43" s="116" t="s">
        <v>19</v>
      </c>
      <c r="H43" s="116" t="s"/>
      <c r="I43" s="123" t="s">
        <v>138</v>
      </c>
      <c r="J43" s="116" t="s">
        <v>778</v>
      </c>
      <c r="K43" s="120">
        <v>1</v>
      </c>
      <c r="L43" s="116" t="s"/>
      <c r="M43" s="118" t="s"/>
      <c r="N43" s="118" t="s"/>
      <c r="O43" s="118" t="s"/>
      <c r="P43" s="118" t="s"/>
      <c r="Q43" s="118" t="s"/>
      <c r="R43" s="118" t="s"/>
      <c r="S43" s="118" t="s"/>
      <c r="T43" s="118" t="s"/>
      <c r="U43" s="118" t="s"/>
      <c r="V43" s="118" t="s"/>
      <c r="W43" s="118" t="s"/>
      <c r="X43" s="118" t="s"/>
      <c r="Y43" s="118" t="s"/>
      <c r="Z43" s="118" t="s"/>
      <c r="AA43" s="118" t="s"/>
    </row>
    <row r="44" spans="1:27">
      <c r="A44" s="182" t="s"/>
      <c r="B44" s="116" t="s"/>
      <c r="C44" s="116" t="s"/>
      <c r="D44" s="166" t="s">
        <v>866</v>
      </c>
      <c r="E44" s="116" t="s">
        <v>867</v>
      </c>
      <c r="F44" s="116" t="s">
        <v>258</v>
      </c>
      <c r="G44" s="116" t="s">
        <v>19</v>
      </c>
      <c r="H44" s="116" t="s"/>
      <c r="I44" s="123" t="s">
        <v>138</v>
      </c>
      <c r="J44" s="116" t="s">
        <v>778</v>
      </c>
      <c r="K44" s="120">
        <v>1</v>
      </c>
      <c r="L44" s="116" t="s"/>
      <c r="M44" s="118" t="s"/>
      <c r="N44" s="118" t="s"/>
      <c r="O44" s="118" t="s"/>
      <c r="P44" s="118" t="s"/>
      <c r="Q44" s="118" t="s"/>
      <c r="R44" s="118" t="s"/>
      <c r="S44" s="118" t="s"/>
      <c r="T44" s="118" t="s"/>
      <c r="U44" s="118" t="s"/>
      <c r="V44" s="118" t="s"/>
      <c r="W44" s="118" t="s"/>
      <c r="X44" s="118" t="s"/>
      <c r="Y44" s="118" t="s"/>
      <c r="Z44" s="118" t="s"/>
      <c r="AA44" s="118" t="s"/>
    </row>
    <row r="45" spans="1:27">
      <c r="A45" s="182" t="s"/>
      <c r="B45" s="116" t="s"/>
      <c r="C45" s="116" t="s"/>
      <c r="D45" s="116" t="s">
        <v>868</v>
      </c>
      <c r="E45" s="116" t="s">
        <v>869</v>
      </c>
      <c r="F45" s="116" t="s">
        <v>258</v>
      </c>
      <c r="G45" s="116" t="s">
        <v>19</v>
      </c>
      <c r="H45" s="116" t="s">
        <v>837</v>
      </c>
      <c r="I45" s="123" t="s">
        <v>138</v>
      </c>
      <c r="J45" s="116" t="s">
        <v>778</v>
      </c>
      <c r="K45" s="120">
        <v>1</v>
      </c>
      <c r="L45" s="116" t="s"/>
      <c r="M45" s="118" t="s"/>
      <c r="N45" s="118" t="s"/>
      <c r="O45" s="118" t="s"/>
      <c r="P45" s="118" t="s"/>
      <c r="Q45" s="118" t="s"/>
      <c r="R45" s="118" t="s"/>
      <c r="S45" s="118" t="s"/>
      <c r="T45" s="118" t="s"/>
      <c r="U45" s="118" t="s"/>
      <c r="V45" s="118" t="s"/>
      <c r="W45" s="118" t="s"/>
      <c r="X45" s="118" t="s"/>
      <c r="Y45" s="118" t="s"/>
      <c r="Z45" s="118" t="s"/>
      <c r="AA45" s="118" t="s"/>
    </row>
    <row r="46" spans="1:27">
      <c r="A46" s="182" t="s"/>
      <c r="B46" s="116" t="s"/>
      <c r="C46" s="116" t="s"/>
      <c r="D46" s="116" t="s">
        <v>870</v>
      </c>
      <c r="E46" s="116" t="s">
        <v>871</v>
      </c>
      <c r="F46" s="116" t="s">
        <v>258</v>
      </c>
      <c r="G46" s="116" t="s">
        <v>19</v>
      </c>
      <c r="H46" s="116" t="s">
        <v>837</v>
      </c>
      <c r="I46" s="123" t="s">
        <v>138</v>
      </c>
      <c r="J46" s="116" t="s">
        <v>778</v>
      </c>
      <c r="K46" s="120">
        <v>1</v>
      </c>
      <c r="L46" s="116" t="s"/>
      <c r="M46" s="118" t="s"/>
      <c r="N46" s="118" t="s"/>
      <c r="O46" s="118" t="s"/>
      <c r="P46" s="118" t="s"/>
      <c r="Q46" s="118" t="s"/>
      <c r="R46" s="118" t="s"/>
      <c r="S46" s="118" t="s"/>
      <c r="T46" s="118" t="s"/>
      <c r="U46" s="118" t="s"/>
      <c r="V46" s="118" t="s"/>
      <c r="W46" s="118" t="s"/>
      <c r="X46" s="118" t="s"/>
      <c r="Y46" s="118" t="s"/>
      <c r="Z46" s="118" t="s"/>
      <c r="AA46" s="118" t="s"/>
    </row>
    <row r="47" spans="1:27">
      <c r="A47" s="182" t="s"/>
      <c r="B47" s="116" t="s"/>
      <c r="C47" s="116" t="s"/>
      <c r="D47" s="116" t="s">
        <v>872</v>
      </c>
      <c r="E47" s="116" t="s">
        <v>873</v>
      </c>
      <c r="F47" s="116" t="s">
        <v>258</v>
      </c>
      <c r="G47" s="116" t="s">
        <v>19</v>
      </c>
      <c r="H47" s="116" t="s">
        <v>837</v>
      </c>
      <c r="I47" s="123" t="s">
        <v>138</v>
      </c>
      <c r="J47" s="116" t="s">
        <v>778</v>
      </c>
      <c r="K47" s="120">
        <v>1</v>
      </c>
      <c r="L47" s="116" t="s"/>
      <c r="M47" s="118" t="s"/>
      <c r="N47" s="118" t="s"/>
      <c r="O47" s="118" t="s"/>
      <c r="P47" s="118" t="s"/>
      <c r="Q47" s="118" t="s"/>
      <c r="R47" s="118" t="s"/>
      <c r="S47" s="118" t="s"/>
      <c r="T47" s="118" t="s"/>
      <c r="U47" s="118" t="s"/>
      <c r="V47" s="118" t="s"/>
      <c r="W47" s="118" t="s"/>
      <c r="X47" s="118" t="s"/>
      <c r="Y47" s="118" t="s"/>
      <c r="Z47" s="118" t="s"/>
      <c r="AA47" s="118" t="s"/>
    </row>
    <row r="48" spans="1:27">
      <c r="A48" s="182" t="s"/>
      <c r="B48" s="116" t="s"/>
      <c r="C48" s="116" t="s"/>
      <c r="D48" s="116" t="s">
        <v>874</v>
      </c>
      <c r="E48" s="116" t="s">
        <v>875</v>
      </c>
      <c r="F48" s="116" t="s">
        <v>258</v>
      </c>
      <c r="G48" s="116" t="s">
        <v>19</v>
      </c>
      <c r="H48" s="116" t="s">
        <v>837</v>
      </c>
      <c r="I48" s="123" t="s">
        <v>138</v>
      </c>
      <c r="J48" s="116" t="s">
        <v>778</v>
      </c>
      <c r="K48" s="120">
        <v>1</v>
      </c>
      <c r="L48" s="116" t="s"/>
      <c r="M48" s="118" t="s"/>
      <c r="N48" s="118" t="s"/>
      <c r="O48" s="118" t="s"/>
      <c r="P48" s="118" t="s"/>
      <c r="Q48" s="118" t="s"/>
      <c r="R48" s="118" t="s"/>
      <c r="S48" s="118" t="s"/>
      <c r="T48" s="118" t="s"/>
      <c r="U48" s="118" t="s"/>
      <c r="V48" s="118" t="s"/>
      <c r="W48" s="118" t="s"/>
      <c r="X48" s="118" t="s"/>
      <c r="Y48" s="118" t="s"/>
      <c r="Z48" s="118" t="s"/>
      <c r="AA48" s="118" t="s"/>
    </row>
    <row r="49" spans="1:27">
      <c r="A49" s="182" t="s"/>
      <c r="B49" s="116" t="s"/>
      <c r="C49" s="116" t="s"/>
      <c r="D49" s="116" t="s">
        <v>876</v>
      </c>
      <c r="E49" s="116" t="s">
        <v>877</v>
      </c>
      <c r="F49" s="116" t="s">
        <v>258</v>
      </c>
      <c r="G49" s="116" t="s">
        <v>19</v>
      </c>
      <c r="H49" s="116" t="s">
        <v>837</v>
      </c>
      <c r="I49" s="123" t="s">
        <v>138</v>
      </c>
      <c r="J49" s="116" t="s">
        <v>778</v>
      </c>
      <c r="K49" s="120">
        <v>1</v>
      </c>
      <c r="L49" s="116" t="s"/>
      <c r="M49" s="118" t="s"/>
      <c r="N49" s="118" t="s"/>
      <c r="O49" s="118" t="s"/>
      <c r="P49" s="118" t="s"/>
      <c r="Q49" s="118" t="s"/>
      <c r="R49" s="118" t="s"/>
      <c r="S49" s="118" t="s"/>
      <c r="T49" s="118" t="s"/>
      <c r="U49" s="118" t="s"/>
      <c r="V49" s="118" t="s"/>
      <c r="W49" s="118" t="s"/>
      <c r="X49" s="118" t="s"/>
      <c r="Y49" s="118" t="s"/>
      <c r="Z49" s="118" t="s"/>
      <c r="AA49" s="118" t="s"/>
    </row>
    <row r="50" spans="1:27" s="31" customFormat="true">
      <c r="A50" s="183" t="s"/>
      <c r="B50" s="130" t="s"/>
      <c r="C50" s="130" t="s"/>
      <c r="D50" s="130" t="s">
        <v>878</v>
      </c>
      <c r="E50" s="130" t="s">
        <v>879</v>
      </c>
      <c r="F50" s="130" t="s">
        <v>258</v>
      </c>
      <c r="G50" s="130" t="s">
        <v>19</v>
      </c>
      <c r="H50" s="130" t="s"/>
      <c r="I50" s="88" t="s">
        <v>138</v>
      </c>
      <c r="J50" s="128" t="s">
        <v>778</v>
      </c>
      <c r="K50" s="120">
        <v>1</v>
      </c>
      <c r="L50" s="130" t="s"/>
      <c r="M50" s="132" t="s"/>
      <c r="N50" s="132" t="s"/>
      <c r="O50" s="132" t="s"/>
      <c r="P50" s="132" t="s"/>
      <c r="Q50" s="132" t="s"/>
      <c r="R50" s="132" t="s"/>
      <c r="S50" s="132" t="s"/>
      <c r="T50" s="132" t="s"/>
      <c r="U50" s="132" t="s"/>
      <c r="V50" s="132" t="s"/>
      <c r="W50" s="132" t="s"/>
      <c r="X50" s="132" t="s"/>
      <c r="Y50" s="132" t="s"/>
      <c r="Z50" s="132" t="s"/>
      <c r="AA50" s="132" t="s"/>
    </row>
    <row r="51" spans="1:27" s="31" customFormat="true">
      <c r="A51" s="183" t="s"/>
      <c r="B51" s="130" t="s"/>
      <c r="C51" s="130" t="s"/>
      <c r="D51" s="130" t="s">
        <v>880</v>
      </c>
      <c r="E51" s="130" t="s">
        <v>881</v>
      </c>
      <c r="F51" s="130" t="s">
        <v>258</v>
      </c>
      <c r="G51" s="130" t="s">
        <v>19</v>
      </c>
      <c r="H51" s="130" t="s"/>
      <c r="I51" s="88" t="s">
        <v>138</v>
      </c>
      <c r="J51" s="128" t="s">
        <v>778</v>
      </c>
      <c r="K51" s="120">
        <v>1</v>
      </c>
      <c r="L51" s="130" t="s"/>
      <c r="M51" s="132" t="s"/>
      <c r="N51" s="132" t="s"/>
      <c r="O51" s="132" t="s"/>
      <c r="P51" s="132" t="s"/>
      <c r="Q51" s="132" t="s"/>
      <c r="R51" s="132" t="s"/>
      <c r="S51" s="132" t="s"/>
      <c r="T51" s="132" t="s"/>
      <c r="U51" s="132" t="s"/>
      <c r="V51" s="132" t="s"/>
      <c r="W51" s="132" t="s"/>
      <c r="X51" s="132" t="s"/>
      <c r="Y51" s="132" t="s"/>
      <c r="Z51" s="132" t="s"/>
      <c r="AA51" s="132" t="s"/>
    </row>
    <row r="52" spans="1:27" s="31" customFormat="true">
      <c r="A52" s="183" t="s"/>
      <c r="B52" s="130" t="s"/>
      <c r="C52" s="130" t="s"/>
      <c r="D52" s="130" t="s">
        <v>882</v>
      </c>
      <c r="E52" s="130" t="s">
        <v>883</v>
      </c>
      <c r="F52" s="130" t="s">
        <v>258</v>
      </c>
      <c r="G52" s="130" t="s">
        <v>19</v>
      </c>
      <c r="H52" s="130" t="s"/>
      <c r="I52" s="88" t="s">
        <v>138</v>
      </c>
      <c r="J52" s="128" t="s">
        <v>778</v>
      </c>
      <c r="K52" s="120">
        <v>1</v>
      </c>
      <c r="L52" s="130" t="s"/>
      <c r="M52" s="132" t="s"/>
      <c r="N52" s="132" t="s"/>
      <c r="O52" s="132" t="s"/>
      <c r="P52" s="132" t="s"/>
      <c r="Q52" s="132" t="s"/>
      <c r="R52" s="132" t="s"/>
      <c r="S52" s="132" t="s"/>
      <c r="T52" s="132" t="s"/>
      <c r="U52" s="132" t="s"/>
      <c r="V52" s="132" t="s"/>
      <c r="W52" s="132" t="s"/>
      <c r="X52" s="132" t="s"/>
      <c r="Y52" s="132" t="s"/>
      <c r="Z52" s="132" t="s"/>
      <c r="AA52" s="132" t="s"/>
    </row>
    <row r="53" spans="1:27" s="31" customFormat="true">
      <c r="A53" s="183" t="s"/>
      <c r="B53" s="130" t="s"/>
      <c r="C53" s="130" t="s"/>
      <c r="D53" s="130" t="s">
        <v>884</v>
      </c>
      <c r="E53" s="130" t="s">
        <v>885</v>
      </c>
      <c r="F53" s="130" t="s">
        <v>258</v>
      </c>
      <c r="G53" s="130" t="s">
        <v>19</v>
      </c>
      <c r="H53" s="130" t="s"/>
      <c r="I53" s="88" t="s">
        <v>138</v>
      </c>
      <c r="J53" s="128" t="s">
        <v>778</v>
      </c>
      <c r="K53" s="120">
        <v>1</v>
      </c>
      <c r="L53" s="130" t="s"/>
      <c r="M53" s="132" t="s"/>
      <c r="N53" s="132" t="s"/>
      <c r="O53" s="132" t="s"/>
      <c r="P53" s="132" t="s"/>
      <c r="Q53" s="132" t="s"/>
      <c r="R53" s="132" t="s"/>
      <c r="S53" s="132" t="s"/>
      <c r="T53" s="132" t="s"/>
      <c r="U53" s="132" t="s"/>
      <c r="V53" s="132" t="s"/>
      <c r="W53" s="132" t="s"/>
      <c r="X53" s="132" t="s"/>
      <c r="Y53" s="132" t="s"/>
      <c r="Z53" s="132" t="s"/>
      <c r="AA53" s="132" t="s"/>
    </row>
    <row r="54" spans="1:27" s="31" customFormat="true">
      <c r="A54" s="183" t="s"/>
      <c r="B54" s="130" t="s"/>
      <c r="C54" s="130" t="s"/>
      <c r="D54" s="130" t="s">
        <v>886</v>
      </c>
      <c r="E54" s="130" t="s">
        <v>887</v>
      </c>
      <c r="F54" s="130" t="s">
        <v>258</v>
      </c>
      <c r="G54" s="130" t="s">
        <v>19</v>
      </c>
      <c r="H54" s="130" t="s"/>
      <c r="I54" s="88" t="s">
        <v>138</v>
      </c>
      <c r="J54" s="128" t="s">
        <v>778</v>
      </c>
      <c r="K54" s="120">
        <v>1</v>
      </c>
      <c r="L54" s="130" t="s"/>
      <c r="M54" s="132" t="s"/>
      <c r="N54" s="132" t="s"/>
      <c r="O54" s="132" t="s"/>
      <c r="P54" s="132" t="s"/>
      <c r="Q54" s="132" t="s"/>
      <c r="R54" s="132" t="s"/>
      <c r="S54" s="132" t="s"/>
      <c r="T54" s="132" t="s"/>
      <c r="U54" s="132" t="s"/>
      <c r="V54" s="132" t="s"/>
      <c r="W54" s="132" t="s"/>
      <c r="X54" s="132" t="s"/>
      <c r="Y54" s="132" t="s"/>
      <c r="Z54" s="132" t="s"/>
      <c r="AA54" s="132" t="s"/>
    </row>
    <row r="55" spans="1:27" s="31" customFormat="true">
      <c r="A55" s="183" t="s"/>
      <c r="B55" s="130" t="s"/>
      <c r="C55" s="130" t="s"/>
      <c r="D55" s="130" t="s">
        <v>888</v>
      </c>
      <c r="E55" s="130" t="s">
        <v>889</v>
      </c>
      <c r="F55" s="130" t="s">
        <v>258</v>
      </c>
      <c r="G55" s="130" t="s">
        <v>19</v>
      </c>
      <c r="H55" s="130" t="s"/>
      <c r="I55" s="88" t="s">
        <v>138</v>
      </c>
      <c r="J55" s="128" t="s">
        <v>778</v>
      </c>
      <c r="K55" s="120">
        <v>1</v>
      </c>
      <c r="L55" s="130" t="s"/>
      <c r="M55" s="132" t="s"/>
      <c r="N55" s="132" t="s"/>
      <c r="O55" s="132" t="s"/>
      <c r="P55" s="132" t="s"/>
      <c r="Q55" s="132" t="s"/>
      <c r="R55" s="132" t="s"/>
      <c r="S55" s="132" t="s"/>
      <c r="T55" s="132" t="s"/>
      <c r="U55" s="132" t="s"/>
      <c r="V55" s="132" t="s"/>
      <c r="W55" s="132" t="s"/>
      <c r="X55" s="132" t="s"/>
      <c r="Y55" s="132" t="s"/>
      <c r="Z55" s="132" t="s"/>
      <c r="AA55" s="132" t="s"/>
    </row>
    <row r="56" spans="1:27" s="13" customFormat="true">
      <c r="A56" s="183" t="s"/>
      <c r="B56" s="130" t="s"/>
      <c r="C56" s="130" t="s"/>
      <c r="D56" s="130" t="s">
        <v>890</v>
      </c>
      <c r="E56" s="130" t="s">
        <v>891</v>
      </c>
      <c r="F56" s="130" t="s">
        <v>258</v>
      </c>
      <c r="G56" s="130" t="s">
        <v>19</v>
      </c>
      <c r="H56" s="130" t="s"/>
      <c r="I56" s="88" t="s">
        <v>138</v>
      </c>
      <c r="J56" s="128" t="s">
        <v>778</v>
      </c>
      <c r="K56" s="184">
        <v>2</v>
      </c>
      <c r="L56" s="130" t="s"/>
      <c r="M56" s="132" t="s"/>
      <c r="N56" s="132" t="s"/>
      <c r="O56" s="132" t="s"/>
      <c r="P56" s="132" t="s"/>
      <c r="Q56" s="132" t="s"/>
      <c r="R56" s="132" t="s"/>
      <c r="S56" s="132" t="s"/>
      <c r="T56" s="132" t="s"/>
      <c r="U56" s="132" t="s"/>
      <c r="V56" s="132" t="s"/>
      <c r="W56" s="132" t="s"/>
      <c r="X56" s="132" t="s"/>
      <c r="Y56" s="132" t="s"/>
      <c r="Z56" s="132" t="s"/>
      <c r="AA56" s="132" t="s"/>
    </row>
    <row r="57" spans="1:27" s="13" customFormat="true">
      <c r="A57" s="183" t="s"/>
      <c r="B57" s="130" t="s"/>
      <c r="C57" s="130" t="s"/>
      <c r="D57" s="130" t="s">
        <v>892</v>
      </c>
      <c r="E57" s="130" t="s">
        <v>893</v>
      </c>
      <c r="F57" s="130" t="s">
        <v>258</v>
      </c>
      <c r="G57" s="130" t="s">
        <v>19</v>
      </c>
      <c r="H57" s="130" t="s"/>
      <c r="I57" s="88" t="s">
        <v>138</v>
      </c>
      <c r="J57" s="128" t="s">
        <v>778</v>
      </c>
      <c r="K57" s="185">
        <v>2</v>
      </c>
      <c r="L57" s="130" t="s"/>
      <c r="M57" s="132" t="s"/>
      <c r="N57" s="132" t="s"/>
      <c r="O57" s="132" t="s"/>
      <c r="P57" s="132" t="s"/>
      <c r="Q57" s="132" t="s"/>
      <c r="R57" s="132" t="s"/>
      <c r="S57" s="132" t="s"/>
      <c r="T57" s="132" t="s"/>
      <c r="U57" s="132" t="s"/>
      <c r="V57" s="132" t="s"/>
      <c r="W57" s="132" t="s"/>
      <c r="X57" s="132" t="s"/>
      <c r="Y57" s="132" t="s"/>
      <c r="Z57" s="132" t="s"/>
      <c r="AA57" s="132" t="s"/>
    </row>
    <row r="58" spans="1:27" s="13" customFormat="true">
      <c r="A58" s="183" t="s"/>
      <c r="B58" s="130" t="s"/>
      <c r="C58" s="130" t="s"/>
      <c r="D58" s="130" t="s">
        <v>894</v>
      </c>
      <c r="E58" s="130" t="s">
        <v>895</v>
      </c>
      <c r="F58" s="130" t="s">
        <v>258</v>
      </c>
      <c r="G58" s="130" t="s">
        <v>19</v>
      </c>
      <c r="H58" s="130" t="s"/>
      <c r="I58" s="88" t="s">
        <v>138</v>
      </c>
      <c r="J58" s="128" t="s">
        <v>778</v>
      </c>
      <c r="K58" s="185">
        <v>2</v>
      </c>
      <c r="L58" s="130" t="s"/>
      <c r="M58" s="132" t="s"/>
      <c r="N58" s="132" t="s"/>
      <c r="O58" s="132" t="s"/>
      <c r="P58" s="132" t="s"/>
      <c r="Q58" s="132" t="s"/>
      <c r="R58" s="132" t="s"/>
      <c r="S58" s="132" t="s"/>
      <c r="T58" s="132" t="s"/>
      <c r="U58" s="132" t="s"/>
      <c r="V58" s="132" t="s"/>
      <c r="W58" s="132" t="s"/>
      <c r="X58" s="132" t="s"/>
      <c r="Y58" s="132" t="s"/>
      <c r="Z58" s="132" t="s"/>
      <c r="AA58" s="132" t="s"/>
    </row>
    <row r="59" spans="1:27" s="13" customFormat="true">
      <c r="A59" s="183" t="s"/>
      <c r="B59" s="130" t="s"/>
      <c r="C59" s="130" t="s"/>
      <c r="D59" s="130" t="s">
        <v>896</v>
      </c>
      <c r="E59" s="130" t="s">
        <v>897</v>
      </c>
      <c r="F59" s="130" t="s">
        <v>258</v>
      </c>
      <c r="G59" s="130" t="s">
        <v>19</v>
      </c>
      <c r="H59" s="130" t="s"/>
      <c r="I59" s="88" t="s">
        <v>138</v>
      </c>
      <c r="J59" s="128" t="s">
        <v>778</v>
      </c>
      <c r="K59" s="185">
        <v>2</v>
      </c>
      <c r="L59" s="130" t="s"/>
      <c r="M59" s="132" t="s"/>
      <c r="N59" s="132" t="s"/>
      <c r="O59" s="132" t="s"/>
      <c r="P59" s="132" t="s"/>
      <c r="Q59" s="132" t="s"/>
      <c r="R59" s="132" t="s"/>
      <c r="S59" s="132" t="s"/>
      <c r="T59" s="132" t="s"/>
      <c r="U59" s="132" t="s"/>
      <c r="V59" s="132" t="s"/>
      <c r="W59" s="132" t="s"/>
      <c r="X59" s="132" t="s"/>
      <c r="Y59" s="132" t="s"/>
      <c r="Z59" s="132" t="s"/>
      <c r="AA59" s="132" t="s"/>
    </row>
    <row r="60" spans="1:27" s="13" customFormat="true">
      <c r="A60" s="183" t="s"/>
      <c r="B60" s="130" t="s"/>
      <c r="C60" s="130" t="s"/>
      <c r="D60" s="130" t="s">
        <v>898</v>
      </c>
      <c r="E60" s="130" t="s">
        <v>899</v>
      </c>
      <c r="F60" s="130" t="s">
        <v>258</v>
      </c>
      <c r="G60" s="130" t="s">
        <v>19</v>
      </c>
      <c r="H60" s="130" t="s"/>
      <c r="I60" s="88" t="s">
        <v>138</v>
      </c>
      <c r="J60" s="128" t="s">
        <v>778</v>
      </c>
      <c r="K60" s="185">
        <v>2</v>
      </c>
      <c r="L60" s="130" t="s"/>
      <c r="M60" s="132" t="s"/>
      <c r="N60" s="132" t="s"/>
      <c r="O60" s="132" t="s"/>
      <c r="P60" s="132" t="s"/>
      <c r="Q60" s="132" t="s"/>
      <c r="R60" s="132" t="s"/>
      <c r="S60" s="132" t="s"/>
      <c r="T60" s="132" t="s"/>
      <c r="U60" s="132" t="s"/>
      <c r="V60" s="132" t="s"/>
      <c r="W60" s="132" t="s"/>
      <c r="X60" s="132" t="s"/>
      <c r="Y60" s="132" t="s"/>
      <c r="Z60" s="132" t="s"/>
      <c r="AA60" s="132" t="s"/>
    </row>
    <row r="61" spans="1:27" s="13" customFormat="true">
      <c r="A61" s="183" t="s"/>
      <c r="B61" s="130" t="s"/>
      <c r="C61" s="130" t="s"/>
      <c r="D61" s="130" t="s">
        <v>900</v>
      </c>
      <c r="E61" s="130" t="s">
        <v>901</v>
      </c>
      <c r="F61" s="130" t="s">
        <v>258</v>
      </c>
      <c r="G61" s="130" t="s">
        <v>19</v>
      </c>
      <c r="H61" s="130" t="s"/>
      <c r="I61" s="88" t="s">
        <v>138</v>
      </c>
      <c r="J61" s="128" t="s">
        <v>778</v>
      </c>
      <c r="K61" s="185">
        <v>2</v>
      </c>
      <c r="L61" s="130" t="s"/>
      <c r="M61" s="132" t="s"/>
      <c r="N61" s="132" t="s"/>
      <c r="O61" s="132" t="s"/>
      <c r="P61" s="132" t="s"/>
      <c r="Q61" s="132" t="s"/>
      <c r="R61" s="132" t="s"/>
      <c r="S61" s="132" t="s"/>
      <c r="T61" s="132" t="s"/>
      <c r="U61" s="132" t="s"/>
      <c r="V61" s="132" t="s"/>
      <c r="W61" s="132" t="s"/>
      <c r="X61" s="132" t="s"/>
      <c r="Y61" s="132" t="s"/>
      <c r="Z61" s="132" t="s"/>
      <c r="AA61" s="132" t="s"/>
    </row>
    <row r="62" spans="1:27" s="31" customFormat="true">
      <c r="A62" s="183" t="s"/>
      <c r="B62" s="130" t="s"/>
      <c r="C62" s="130" t="s"/>
      <c r="D62" s="130" t="s">
        <v>902</v>
      </c>
      <c r="E62" s="130" t="s">
        <v>903</v>
      </c>
      <c r="F62" s="130" t="s">
        <v>258</v>
      </c>
      <c r="G62" s="130" t="s">
        <v>19</v>
      </c>
      <c r="H62" s="130" t="s"/>
      <c r="I62" s="88" t="s">
        <v>138</v>
      </c>
      <c r="J62" s="128" t="s">
        <v>778</v>
      </c>
      <c r="K62" s="184">
        <v>1</v>
      </c>
      <c r="L62" s="130" t="s"/>
      <c r="M62" s="132" t="s"/>
      <c r="N62" s="132" t="s"/>
      <c r="O62" s="132" t="s"/>
      <c r="P62" s="132" t="s"/>
      <c r="Q62" s="132" t="s"/>
      <c r="R62" s="132" t="s"/>
      <c r="S62" s="132" t="s"/>
      <c r="T62" s="132" t="s"/>
      <c r="U62" s="132" t="s"/>
      <c r="V62" s="132" t="s"/>
      <c r="W62" s="132" t="s"/>
      <c r="X62" s="132" t="s"/>
      <c r="Y62" s="132" t="s"/>
      <c r="Z62" s="132" t="s"/>
      <c r="AA62" s="132" t="s"/>
    </row>
    <row r="63" spans="1:27" s="31" customFormat="true">
      <c r="A63" s="183" t="s"/>
      <c r="B63" s="130" t="s"/>
      <c r="C63" s="130" t="s"/>
      <c r="D63" s="130" t="s">
        <v>904</v>
      </c>
      <c r="E63" s="130" t="s">
        <v>905</v>
      </c>
      <c r="F63" s="130" t="s">
        <v>258</v>
      </c>
      <c r="G63" s="130" t="s">
        <v>19</v>
      </c>
      <c r="H63" s="130" t="s"/>
      <c r="I63" s="88" t="s">
        <v>138</v>
      </c>
      <c r="J63" s="128" t="s">
        <v>778</v>
      </c>
      <c r="K63" s="185">
        <v>1</v>
      </c>
      <c r="L63" s="130" t="s"/>
      <c r="M63" s="132" t="s"/>
      <c r="N63" s="132" t="s"/>
      <c r="O63" s="132" t="s"/>
      <c r="P63" s="132" t="s"/>
      <c r="Q63" s="132" t="s"/>
      <c r="R63" s="132" t="s"/>
      <c r="S63" s="132" t="s"/>
      <c r="T63" s="132" t="s"/>
      <c r="U63" s="132" t="s"/>
      <c r="V63" s="132" t="s"/>
      <c r="W63" s="132" t="s"/>
      <c r="X63" s="132" t="s"/>
      <c r="Y63" s="132" t="s"/>
      <c r="Z63" s="132" t="s"/>
      <c r="AA63" s="132" t="s"/>
    </row>
    <row r="64" spans="1:27" s="31" customFormat="true">
      <c r="A64" s="183" t="s"/>
      <c r="B64" s="130" t="s"/>
      <c r="C64" s="130" t="s"/>
      <c r="D64" s="130" t="s">
        <v>906</v>
      </c>
      <c r="E64" s="130" t="s">
        <v>907</v>
      </c>
      <c r="F64" s="130" t="s">
        <v>258</v>
      </c>
      <c r="G64" s="130" t="s">
        <v>19</v>
      </c>
      <c r="H64" s="130" t="s"/>
      <c r="I64" s="88" t="s">
        <v>138</v>
      </c>
      <c r="J64" s="128" t="s">
        <v>778</v>
      </c>
      <c r="K64" s="185">
        <v>1</v>
      </c>
      <c r="L64" s="130" t="s"/>
      <c r="M64" s="132" t="s"/>
      <c r="N64" s="132" t="s"/>
      <c r="O64" s="132" t="s"/>
      <c r="P64" s="132" t="s"/>
      <c r="Q64" s="132" t="s"/>
      <c r="R64" s="132" t="s"/>
      <c r="S64" s="132" t="s"/>
      <c r="T64" s="132" t="s"/>
      <c r="U64" s="132" t="s"/>
      <c r="V64" s="132" t="s"/>
      <c r="W64" s="132" t="s"/>
      <c r="X64" s="132" t="s"/>
      <c r="Y64" s="132" t="s"/>
      <c r="Z64" s="132" t="s"/>
      <c r="AA64" s="132" t="s"/>
    </row>
    <row r="65" spans="1:27" s="31" customFormat="true">
      <c r="A65" s="183" t="s"/>
      <c r="B65" s="130" t="s"/>
      <c r="C65" s="130" t="s"/>
      <c r="D65" s="130" t="s">
        <v>908</v>
      </c>
      <c r="E65" s="130" t="s">
        <v>909</v>
      </c>
      <c r="F65" s="130" t="s">
        <v>258</v>
      </c>
      <c r="G65" s="130" t="s">
        <v>19</v>
      </c>
      <c r="H65" s="130" t="s"/>
      <c r="I65" s="88" t="s">
        <v>138</v>
      </c>
      <c r="J65" s="128" t="s">
        <v>778</v>
      </c>
      <c r="K65" s="185">
        <v>1</v>
      </c>
      <c r="L65" s="130" t="s"/>
      <c r="M65" s="132" t="s"/>
      <c r="N65" s="132" t="s"/>
      <c r="O65" s="132" t="s"/>
      <c r="P65" s="132" t="s"/>
      <c r="Q65" s="132" t="s"/>
      <c r="R65" s="132" t="s"/>
      <c r="S65" s="132" t="s"/>
      <c r="T65" s="132" t="s"/>
      <c r="U65" s="132" t="s"/>
      <c r="V65" s="132" t="s"/>
      <c r="W65" s="132" t="s"/>
      <c r="X65" s="132" t="s"/>
      <c r="Y65" s="132" t="s"/>
      <c r="Z65" s="132" t="s"/>
      <c r="AA65" s="132" t="s"/>
    </row>
    <row r="66" spans="1:27" s="31" customFormat="true">
      <c r="A66" s="183" t="s"/>
      <c r="B66" s="130" t="s"/>
      <c r="C66" s="130" t="s"/>
      <c r="D66" s="130" t="s">
        <v>910</v>
      </c>
      <c r="E66" s="130" t="s">
        <v>911</v>
      </c>
      <c r="F66" s="130" t="s">
        <v>258</v>
      </c>
      <c r="G66" s="130" t="s">
        <v>19</v>
      </c>
      <c r="H66" s="130" t="s"/>
      <c r="I66" s="88" t="s">
        <v>138</v>
      </c>
      <c r="J66" s="128" t="s">
        <v>778</v>
      </c>
      <c r="K66" s="185">
        <v>1</v>
      </c>
      <c r="L66" s="130" t="s"/>
      <c r="M66" s="132" t="s"/>
      <c r="N66" s="132" t="s"/>
      <c r="O66" s="132" t="s"/>
      <c r="P66" s="132" t="s"/>
      <c r="Q66" s="132" t="s"/>
      <c r="R66" s="132" t="s"/>
      <c r="S66" s="132" t="s"/>
      <c r="T66" s="132" t="s"/>
      <c r="U66" s="132" t="s"/>
      <c r="V66" s="132" t="s"/>
      <c r="W66" s="132" t="s"/>
      <c r="X66" s="132" t="s"/>
      <c r="Y66" s="132" t="s"/>
      <c r="Z66" s="132" t="s"/>
      <c r="AA66" s="132" t="s"/>
    </row>
    <row r="67" spans="1:27" s="31" customFormat="true">
      <c r="A67" s="183" t="s"/>
      <c r="B67" s="130" t="s"/>
      <c r="C67" s="130" t="s"/>
      <c r="D67" s="130" t="s">
        <v>912</v>
      </c>
      <c r="E67" s="130" t="s">
        <v>913</v>
      </c>
      <c r="F67" s="130" t="s">
        <v>258</v>
      </c>
      <c r="G67" s="130" t="s">
        <v>19</v>
      </c>
      <c r="H67" s="130" t="s"/>
      <c r="I67" s="88" t="s">
        <v>138</v>
      </c>
      <c r="J67" s="128" t="s">
        <v>778</v>
      </c>
      <c r="K67" s="185">
        <v>1</v>
      </c>
      <c r="L67" s="130" t="s"/>
      <c r="M67" s="132" t="s"/>
      <c r="N67" s="132" t="s"/>
      <c r="O67" s="132" t="s"/>
      <c r="P67" s="132" t="s"/>
      <c r="Q67" s="132" t="s"/>
      <c r="R67" s="132" t="s"/>
      <c r="S67" s="132" t="s"/>
      <c r="T67" s="132" t="s"/>
      <c r="U67" s="132" t="s"/>
      <c r="V67" s="132" t="s"/>
      <c r="W67" s="132" t="s"/>
      <c r="X67" s="132" t="s"/>
      <c r="Y67" s="132" t="s"/>
      <c r="Z67" s="132" t="s"/>
      <c r="AA67" s="132" t="s"/>
    </row>
    <row r="68" spans="1:27" s="13" customFormat="true">
      <c r="A68" s="183" t="s"/>
      <c r="B68" s="130" t="s"/>
      <c r="C68" s="130" t="s"/>
      <c r="D68" s="130" t="s">
        <v>914</v>
      </c>
      <c r="E68" s="130" t="s">
        <v>915</v>
      </c>
      <c r="F68" s="130" t="s">
        <v>258</v>
      </c>
      <c r="G68" s="130" t="s">
        <v>19</v>
      </c>
      <c r="H68" s="130" t="s"/>
      <c r="I68" s="88" t="s">
        <v>138</v>
      </c>
      <c r="J68" s="128" t="s">
        <v>778</v>
      </c>
      <c r="K68" s="184">
        <v>2</v>
      </c>
      <c r="L68" s="130" t="s"/>
      <c r="M68" s="132" t="s"/>
      <c r="N68" s="132" t="s"/>
      <c r="O68" s="132" t="s"/>
      <c r="P68" s="132" t="s"/>
      <c r="Q68" s="132" t="s"/>
      <c r="R68" s="132" t="s"/>
      <c r="S68" s="132" t="s"/>
      <c r="T68" s="132" t="s"/>
      <c r="U68" s="132" t="s"/>
      <c r="V68" s="132" t="s"/>
      <c r="W68" s="132" t="s"/>
      <c r="X68" s="132" t="s"/>
      <c r="Y68" s="132" t="s"/>
      <c r="Z68" s="132" t="s"/>
      <c r="AA68" s="132" t="s"/>
    </row>
    <row r="69" spans="1:27" s="13" customFormat="true">
      <c r="A69" s="183" t="s"/>
      <c r="B69" s="130" t="s"/>
      <c r="C69" s="130" t="s"/>
      <c r="D69" s="130" t="s">
        <v>916</v>
      </c>
      <c r="E69" s="130" t="s">
        <v>917</v>
      </c>
      <c r="F69" s="130" t="s">
        <v>258</v>
      </c>
      <c r="G69" s="130" t="s">
        <v>19</v>
      </c>
      <c r="H69" s="130" t="s"/>
      <c r="I69" s="88" t="s">
        <v>138</v>
      </c>
      <c r="J69" s="128" t="s">
        <v>778</v>
      </c>
      <c r="K69" s="185">
        <v>2</v>
      </c>
      <c r="L69" s="130" t="s"/>
      <c r="M69" s="132" t="s"/>
      <c r="N69" s="132" t="s"/>
      <c r="O69" s="132" t="s"/>
      <c r="P69" s="132" t="s"/>
      <c r="Q69" s="132" t="s"/>
      <c r="R69" s="132" t="s"/>
      <c r="S69" s="132" t="s"/>
      <c r="T69" s="132" t="s"/>
      <c r="U69" s="132" t="s"/>
      <c r="V69" s="132" t="s"/>
      <c r="W69" s="132" t="s"/>
      <c r="X69" s="132" t="s"/>
      <c r="Y69" s="132" t="s"/>
      <c r="Z69" s="132" t="s"/>
      <c r="AA69" s="132" t="s"/>
    </row>
    <row r="70" spans="1:27" s="13" customFormat="true">
      <c r="A70" s="183" t="s"/>
      <c r="B70" s="130" t="s"/>
      <c r="C70" s="130" t="s"/>
      <c r="D70" s="130" t="s">
        <v>918</v>
      </c>
      <c r="E70" s="130" t="s">
        <v>919</v>
      </c>
      <c r="F70" s="130" t="s">
        <v>258</v>
      </c>
      <c r="G70" s="130" t="s">
        <v>19</v>
      </c>
      <c r="H70" s="130" t="s"/>
      <c r="I70" s="88" t="s">
        <v>138</v>
      </c>
      <c r="J70" s="128" t="s">
        <v>778</v>
      </c>
      <c r="K70" s="185">
        <v>2</v>
      </c>
      <c r="L70" s="130" t="s"/>
      <c r="M70" s="132" t="s"/>
      <c r="N70" s="132" t="s"/>
      <c r="O70" s="132" t="s"/>
      <c r="P70" s="132" t="s"/>
      <c r="Q70" s="132" t="s"/>
      <c r="R70" s="132" t="s"/>
      <c r="S70" s="132" t="s"/>
      <c r="T70" s="132" t="s"/>
      <c r="U70" s="132" t="s"/>
      <c r="V70" s="132" t="s"/>
      <c r="W70" s="132" t="s"/>
      <c r="X70" s="132" t="s"/>
      <c r="Y70" s="132" t="s"/>
      <c r="Z70" s="132" t="s"/>
      <c r="AA70" s="132" t="s"/>
    </row>
    <row r="71" spans="1:27" s="13" customFormat="true">
      <c r="A71" s="183" t="s"/>
      <c r="B71" s="130" t="s"/>
      <c r="C71" s="130" t="s"/>
      <c r="D71" s="130" t="s">
        <v>920</v>
      </c>
      <c r="E71" s="130" t="s">
        <v>921</v>
      </c>
      <c r="F71" s="130" t="s">
        <v>258</v>
      </c>
      <c r="G71" s="130" t="s">
        <v>19</v>
      </c>
      <c r="H71" s="130" t="s"/>
      <c r="I71" s="88" t="s">
        <v>138</v>
      </c>
      <c r="J71" s="128" t="s">
        <v>778</v>
      </c>
      <c r="K71" s="185">
        <v>2</v>
      </c>
      <c r="L71" s="130" t="s"/>
      <c r="M71" s="132" t="s"/>
      <c r="N71" s="132" t="s"/>
      <c r="O71" s="132" t="s"/>
      <c r="P71" s="132" t="s"/>
      <c r="Q71" s="132" t="s"/>
      <c r="R71" s="132" t="s"/>
      <c r="S71" s="132" t="s"/>
      <c r="T71" s="132" t="s"/>
      <c r="U71" s="132" t="s"/>
      <c r="V71" s="132" t="s"/>
      <c r="W71" s="132" t="s"/>
      <c r="X71" s="132" t="s"/>
      <c r="Y71" s="132" t="s"/>
      <c r="Z71" s="132" t="s"/>
      <c r="AA71" s="132" t="s"/>
    </row>
    <row r="72" spans="1:27" s="13" customFormat="true">
      <c r="A72" s="183" t="s"/>
      <c r="B72" s="130" t="s"/>
      <c r="C72" s="130" t="s"/>
      <c r="D72" s="130" t="s">
        <v>922</v>
      </c>
      <c r="E72" s="130" t="s">
        <v>923</v>
      </c>
      <c r="F72" s="130" t="s">
        <v>258</v>
      </c>
      <c r="G72" s="130" t="s">
        <v>19</v>
      </c>
      <c r="H72" s="130" t="s"/>
      <c r="I72" s="88" t="s">
        <v>138</v>
      </c>
      <c r="J72" s="128" t="s">
        <v>778</v>
      </c>
      <c r="K72" s="185">
        <v>2</v>
      </c>
      <c r="L72" s="130" t="s"/>
      <c r="M72" s="132" t="s"/>
      <c r="N72" s="132" t="s"/>
      <c r="O72" s="132" t="s"/>
      <c r="P72" s="132" t="s"/>
      <c r="Q72" s="132" t="s"/>
      <c r="R72" s="132" t="s"/>
      <c r="S72" s="132" t="s"/>
      <c r="T72" s="132" t="s"/>
      <c r="U72" s="132" t="s"/>
      <c r="V72" s="132" t="s"/>
      <c r="W72" s="132" t="s"/>
      <c r="X72" s="132" t="s"/>
      <c r="Y72" s="132" t="s"/>
      <c r="Z72" s="132" t="s"/>
      <c r="AA72" s="132" t="s"/>
    </row>
    <row r="73" spans="1:27" s="13" customFormat="true">
      <c r="A73" s="183" t="s"/>
      <c r="B73" s="130" t="s"/>
      <c r="C73" s="130" t="s"/>
      <c r="D73" s="130" t="s">
        <v>924</v>
      </c>
      <c r="E73" s="130" t="s">
        <v>925</v>
      </c>
      <c r="F73" s="130" t="s">
        <v>258</v>
      </c>
      <c r="G73" s="130" t="s">
        <v>19</v>
      </c>
      <c r="H73" s="130" t="s"/>
      <c r="I73" s="88" t="s">
        <v>138</v>
      </c>
      <c r="J73" s="128" t="s">
        <v>778</v>
      </c>
      <c r="K73" s="185">
        <v>2</v>
      </c>
      <c r="L73" s="130" t="s"/>
      <c r="M73" s="132" t="s"/>
      <c r="N73" s="132" t="s"/>
      <c r="O73" s="132" t="s"/>
      <c r="P73" s="132" t="s"/>
      <c r="Q73" s="132" t="s"/>
      <c r="R73" s="132" t="s"/>
      <c r="S73" s="132" t="s"/>
      <c r="T73" s="132" t="s"/>
      <c r="U73" s="132" t="s"/>
      <c r="V73" s="132" t="s"/>
      <c r="W73" s="132" t="s"/>
      <c r="X73" s="132" t="s"/>
      <c r="Y73" s="132" t="s"/>
      <c r="Z73" s="132" t="s"/>
      <c r="AA73" s="132" t="s"/>
    </row>
    <row r="74" spans="1:27">
      <c r="A74" s="182" t="s"/>
      <c r="B74" s="116" t="s"/>
      <c r="C74" s="116" t="s"/>
      <c r="D74" s="116" t="s">
        <v>926</v>
      </c>
      <c r="E74" s="116" t="s">
        <v>927</v>
      </c>
      <c r="F74" s="116" t="s">
        <v>99</v>
      </c>
      <c r="G74" s="116" t="s">
        <v>19</v>
      </c>
      <c r="H74" s="116" t="s"/>
      <c r="I74" s="123" t="s">
        <v>138</v>
      </c>
      <c r="J74" s="116" t="s">
        <v>778</v>
      </c>
      <c r="K74" s="116">
        <v>1</v>
      </c>
      <c r="L74" s="116" t="s"/>
      <c r="M74" s="118" t="s"/>
      <c r="N74" s="118" t="s"/>
      <c r="O74" s="118" t="s"/>
      <c r="P74" s="118" t="s"/>
      <c r="Q74" s="118" t="s"/>
      <c r="R74" s="118" t="s"/>
      <c r="S74" s="118" t="s"/>
      <c r="T74" s="118" t="s"/>
      <c r="U74" s="118" t="s"/>
      <c r="V74" s="118" t="s"/>
      <c r="W74" s="118" t="s"/>
      <c r="X74" s="118" t="s"/>
      <c r="Y74" s="118" t="s"/>
      <c r="Z74" s="118" t="s"/>
      <c r="AA74" s="118" t="s"/>
    </row>
    <row r="75" spans="1:27" s="478" customFormat="true">
      <c r="A75" s="186" t="s"/>
      <c r="B75" s="150" t="s"/>
      <c r="C75" s="150" t="s"/>
      <c r="D75" s="187" t="s">
        <v>928</v>
      </c>
      <c r="E75" s="187" t="s">
        <v>929</v>
      </c>
      <c r="F75" s="150" t="s">
        <v>258</v>
      </c>
      <c r="G75" s="150" t="s">
        <v>19</v>
      </c>
      <c r="H75" s="150" t="s"/>
      <c r="I75" s="188" t="s">
        <v>138</v>
      </c>
      <c r="J75" s="150" t="s">
        <v>778</v>
      </c>
      <c r="K75" s="150">
        <v>3</v>
      </c>
      <c r="L75" s="150" t="s">
        <v>930</v>
      </c>
      <c r="M75" s="152" t="s"/>
      <c r="N75" s="152" t="s"/>
      <c r="O75" s="152" t="s"/>
      <c r="P75" s="152" t="s"/>
      <c r="Q75" s="152" t="s"/>
      <c r="R75" s="152" t="s"/>
      <c r="S75" s="152" t="s"/>
      <c r="T75" s="152" t="s"/>
      <c r="U75" s="152" t="s"/>
      <c r="V75" s="152" t="s"/>
      <c r="W75" s="152" t="s"/>
      <c r="X75" s="152" t="s"/>
      <c r="Y75" s="152" t="s"/>
      <c r="Z75" s="152" t="s"/>
      <c r="AA75" s="152" t="s"/>
    </row>
    <row r="76" spans="1:27" s="478" customFormat="true">
      <c r="A76" s="186" t="s"/>
      <c r="B76" s="150" t="s"/>
      <c r="C76" s="150" t="s"/>
      <c r="D76" s="187" t="s">
        <v>931</v>
      </c>
      <c r="E76" s="187" t="s">
        <v>932</v>
      </c>
      <c r="F76" s="150" t="s">
        <v>258</v>
      </c>
      <c r="G76" s="150" t="s">
        <v>19</v>
      </c>
      <c r="H76" s="150" t="s"/>
      <c r="I76" s="188" t="s">
        <v>138</v>
      </c>
      <c r="J76" s="150" t="s">
        <v>778</v>
      </c>
      <c r="K76" s="150">
        <v>3</v>
      </c>
      <c r="L76" s="150" t="s">
        <v>933</v>
      </c>
      <c r="M76" s="152" t="s"/>
      <c r="N76" s="152" t="s"/>
      <c r="O76" s="152" t="s"/>
      <c r="P76" s="152" t="s"/>
      <c r="Q76" s="152" t="s"/>
      <c r="R76" s="152" t="s"/>
      <c r="S76" s="152" t="s"/>
      <c r="T76" s="152" t="s"/>
      <c r="U76" s="152" t="s"/>
      <c r="V76" s="152" t="s"/>
      <c r="W76" s="152" t="s"/>
      <c r="X76" s="152" t="s"/>
      <c r="Y76" s="152" t="s"/>
      <c r="Z76" s="152" t="s"/>
      <c r="AA76" s="152" t="s"/>
    </row>
    <row r="77" spans="1:27" s="478" customFormat="true">
      <c r="A77" s="189" t="s"/>
      <c r="B77" s="138" t="s"/>
      <c r="C77" s="138" t="s"/>
      <c r="D77" s="190" t="s">
        <v>934</v>
      </c>
      <c r="E77" s="190" t="s">
        <v>935</v>
      </c>
      <c r="F77" s="138" t="s">
        <v>258</v>
      </c>
      <c r="G77" s="138" t="s">
        <v>19</v>
      </c>
      <c r="H77" s="138" t="s"/>
      <c r="I77" s="188" t="s">
        <v>138</v>
      </c>
      <c r="J77" s="150" t="s">
        <v>778</v>
      </c>
      <c r="K77" s="138">
        <v>3</v>
      </c>
      <c r="L77" s="138" t="s">
        <v>936</v>
      </c>
      <c r="M77" s="191" t="s"/>
      <c r="N77" s="191" t="s"/>
      <c r="O77" s="191" t="s"/>
      <c r="P77" s="191" t="s"/>
      <c r="Q77" s="191" t="s"/>
      <c r="R77" s="191" t="s"/>
      <c r="S77" s="191" t="s"/>
      <c r="T77" s="191" t="s"/>
      <c r="U77" s="191" t="s"/>
      <c r="V77" s="191" t="s"/>
      <c r="W77" s="191" t="s"/>
      <c r="X77" s="191" t="s"/>
      <c r="Y77" s="191" t="s"/>
      <c r="Z77" s="191" t="s"/>
      <c r="AA77" s="191" t="s"/>
    </row>
    <row r="78" spans="1:27" s="478" customFormat="true">
      <c r="A78" s="189" t="s"/>
      <c r="B78" s="138" t="s"/>
      <c r="C78" s="138" t="s"/>
      <c r="D78" s="190" t="s">
        <v>937</v>
      </c>
      <c r="E78" s="190" t="s">
        <v>938</v>
      </c>
      <c r="F78" s="138" t="s">
        <v>258</v>
      </c>
      <c r="G78" s="138" t="s">
        <v>19</v>
      </c>
      <c r="H78" s="138" t="s"/>
      <c r="I78" s="188" t="s">
        <v>138</v>
      </c>
      <c r="J78" s="150" t="s">
        <v>778</v>
      </c>
      <c r="K78" s="138">
        <v>3</v>
      </c>
      <c r="L78" s="138" t="s">
        <v>939</v>
      </c>
      <c r="M78" s="191" t="s"/>
      <c r="N78" s="191" t="s"/>
      <c r="O78" s="191" t="s"/>
      <c r="P78" s="191" t="s"/>
      <c r="Q78" s="191" t="s"/>
      <c r="R78" s="191" t="s"/>
      <c r="S78" s="191" t="s"/>
      <c r="T78" s="191" t="s"/>
      <c r="U78" s="191" t="s"/>
      <c r="V78" s="191" t="s"/>
      <c r="W78" s="191" t="s"/>
      <c r="X78" s="191" t="s"/>
      <c r="Y78" s="191" t="s"/>
      <c r="Z78" s="191" t="s"/>
      <c r="AA78" s="191" t="s"/>
    </row>
    <row r="79" spans="1:27" s="478" customFormat="true">
      <c r="A79" s="189" t="s"/>
      <c r="B79" s="138" t="s"/>
      <c r="C79" s="138" t="s"/>
      <c r="D79" s="190" t="s">
        <v>940</v>
      </c>
      <c r="E79" s="190" t="s">
        <v>941</v>
      </c>
      <c r="F79" s="138" t="s">
        <v>258</v>
      </c>
      <c r="G79" s="138" t="s">
        <v>19</v>
      </c>
      <c r="H79" s="138" t="s"/>
      <c r="I79" s="188" t="s">
        <v>138</v>
      </c>
      <c r="J79" s="150" t="s">
        <v>778</v>
      </c>
      <c r="K79" s="138">
        <v>3</v>
      </c>
      <c r="L79" s="138" t="s">
        <v>942</v>
      </c>
      <c r="M79" s="191" t="s"/>
      <c r="N79" s="191" t="s"/>
      <c r="O79" s="191" t="s"/>
      <c r="P79" s="191" t="s"/>
      <c r="Q79" s="191" t="s"/>
      <c r="R79" s="191" t="s"/>
      <c r="S79" s="191" t="s"/>
      <c r="T79" s="191" t="s"/>
      <c r="U79" s="191" t="s"/>
      <c r="V79" s="191" t="s"/>
      <c r="W79" s="191" t="s"/>
      <c r="X79" s="191" t="s"/>
      <c r="Y79" s="191" t="s"/>
      <c r="Z79" s="191" t="s"/>
      <c r="AA79" s="191" t="s"/>
    </row>
    <row r="80" spans="1:27" s="478" customFormat="true">
      <c r="A80" s="189" t="s"/>
      <c r="B80" s="138" t="s"/>
      <c r="C80" s="138" t="s"/>
      <c r="D80" s="190" t="s">
        <v>943</v>
      </c>
      <c r="E80" s="190" t="s">
        <v>944</v>
      </c>
      <c r="F80" s="138" t="s">
        <v>258</v>
      </c>
      <c r="G80" s="138" t="s">
        <v>19</v>
      </c>
      <c r="H80" s="138" t="s"/>
      <c r="I80" s="188" t="s">
        <v>138</v>
      </c>
      <c r="J80" s="150" t="s">
        <v>778</v>
      </c>
      <c r="K80" s="138">
        <v>3</v>
      </c>
      <c r="L80" s="138" t="s">
        <v>945</v>
      </c>
      <c r="M80" s="191" t="s"/>
      <c r="N80" s="191" t="s"/>
      <c r="O80" s="191" t="s"/>
      <c r="P80" s="191" t="s"/>
      <c r="Q80" s="191" t="s"/>
      <c r="R80" s="191" t="s"/>
      <c r="S80" s="191" t="s"/>
      <c r="T80" s="191" t="s"/>
      <c r="U80" s="191" t="s"/>
      <c r="V80" s="191" t="s"/>
      <c r="W80" s="191" t="s"/>
      <c r="X80" s="191" t="s"/>
      <c r="Y80" s="191" t="s"/>
      <c r="Z80" s="191" t="s"/>
      <c r="AA80" s="191" t="s"/>
    </row>
    <row r="81" spans="1:27" s="478" customFormat="true">
      <c r="A81" s="189" t="s"/>
      <c r="B81" s="138" t="s"/>
      <c r="C81" s="138" t="s"/>
      <c r="D81" s="190" t="s">
        <v>946</v>
      </c>
      <c r="E81" s="190" t="s">
        <v>947</v>
      </c>
      <c r="F81" s="138" t="s">
        <v>258</v>
      </c>
      <c r="G81" s="138" t="s">
        <v>19</v>
      </c>
      <c r="H81" s="138" t="s"/>
      <c r="I81" s="188" t="s">
        <v>138</v>
      </c>
      <c r="J81" s="150" t="s">
        <v>778</v>
      </c>
      <c r="K81" s="138">
        <v>3</v>
      </c>
      <c r="L81" s="138" t="s">
        <v>948</v>
      </c>
      <c r="M81" s="191" t="s"/>
      <c r="N81" s="191" t="s"/>
      <c r="O81" s="191" t="s"/>
      <c r="P81" s="191" t="s"/>
      <c r="Q81" s="191" t="s"/>
      <c r="R81" s="191" t="s"/>
      <c r="S81" s="191" t="s"/>
      <c r="T81" s="191" t="s"/>
      <c r="U81" s="191" t="s"/>
      <c r="V81" s="191" t="s"/>
      <c r="W81" s="191" t="s"/>
      <c r="X81" s="191" t="s"/>
      <c r="Y81" s="191" t="s"/>
      <c r="Z81" s="191" t="s"/>
      <c r="AA81" s="191" t="s"/>
    </row>
    <row r="82" spans="1:27" s="478" customFormat="true">
      <c r="A82" s="189" t="s"/>
      <c r="B82" s="138" t="s"/>
      <c r="C82" s="138" t="s"/>
      <c r="D82" s="190" t="s">
        <v>949</v>
      </c>
      <c r="E82" s="190" t="s">
        <v>950</v>
      </c>
      <c r="F82" s="138" t="s">
        <v>258</v>
      </c>
      <c r="G82" s="138" t="s">
        <v>19</v>
      </c>
      <c r="H82" s="138" t="s"/>
      <c r="I82" s="188" t="s">
        <v>138</v>
      </c>
      <c r="J82" s="150" t="s">
        <v>778</v>
      </c>
      <c r="K82" s="138">
        <v>3</v>
      </c>
      <c r="L82" s="138" t="s"/>
      <c r="M82" s="191" t="s"/>
      <c r="N82" s="191" t="s"/>
      <c r="O82" s="191" t="s"/>
      <c r="P82" s="191" t="s"/>
      <c r="Q82" s="191" t="s"/>
      <c r="R82" s="191" t="s"/>
      <c r="S82" s="191" t="s"/>
      <c r="T82" s="191" t="s"/>
      <c r="U82" s="191" t="s"/>
      <c r="V82" s="191" t="s"/>
      <c r="W82" s="191" t="s"/>
      <c r="X82" s="191" t="s"/>
      <c r="Y82" s="191" t="s"/>
      <c r="Z82" s="191" t="s"/>
      <c r="AA82" s="191" t="s"/>
    </row>
    <row r="83" spans="1:27" s="478" customFormat="true">
      <c r="A83" s="189" t="s"/>
      <c r="B83" s="138" t="s"/>
      <c r="C83" s="138" t="s"/>
      <c r="D83" s="190" t="s">
        <v>951</v>
      </c>
      <c r="E83" s="190" t="s">
        <v>952</v>
      </c>
      <c r="F83" s="138" t="s">
        <v>258</v>
      </c>
      <c r="G83" s="138" t="s">
        <v>19</v>
      </c>
      <c r="H83" s="138" t="s"/>
      <c r="I83" s="188" t="s">
        <v>138</v>
      </c>
      <c r="J83" s="150" t="s">
        <v>778</v>
      </c>
      <c r="K83" s="138">
        <v>3</v>
      </c>
      <c r="L83" s="138" t="s"/>
      <c r="M83" s="191" t="s"/>
      <c r="N83" s="191" t="s"/>
      <c r="O83" s="191" t="s"/>
      <c r="P83" s="191" t="s"/>
      <c r="Q83" s="191" t="s"/>
      <c r="R83" s="191" t="s"/>
      <c r="S83" s="191" t="s"/>
      <c r="T83" s="191" t="s"/>
      <c r="U83" s="191" t="s"/>
      <c r="V83" s="191" t="s"/>
      <c r="W83" s="191" t="s"/>
      <c r="X83" s="191" t="s"/>
      <c r="Y83" s="191" t="s"/>
      <c r="Z83" s="191" t="s"/>
      <c r="AA83" s="191" t="s"/>
    </row>
    <row r="84" spans="1:27" s="478" customFormat="true">
      <c r="A84" s="189" t="s"/>
      <c r="B84" s="138" t="s"/>
      <c r="C84" s="138" t="s"/>
      <c r="D84" s="190" t="s">
        <v>953</v>
      </c>
      <c r="E84" s="190" t="s">
        <v>954</v>
      </c>
      <c r="F84" s="138" t="s">
        <v>258</v>
      </c>
      <c r="G84" s="138" t="s">
        <v>19</v>
      </c>
      <c r="H84" s="138" t="s"/>
      <c r="I84" s="188" t="s">
        <v>138</v>
      </c>
      <c r="J84" s="150" t="s">
        <v>778</v>
      </c>
      <c r="K84" s="138">
        <v>3</v>
      </c>
      <c r="L84" s="138" t="s"/>
      <c r="M84" s="191" t="s"/>
      <c r="N84" s="191" t="s"/>
      <c r="O84" s="191" t="s"/>
      <c r="P84" s="191" t="s"/>
      <c r="Q84" s="191" t="s"/>
      <c r="R84" s="191" t="s"/>
      <c r="S84" s="191" t="s"/>
      <c r="T84" s="191" t="s"/>
      <c r="U84" s="191" t="s"/>
      <c r="V84" s="191" t="s"/>
      <c r="W84" s="191" t="s"/>
      <c r="X84" s="191" t="s"/>
      <c r="Y84" s="191" t="s"/>
      <c r="Z84" s="191" t="s"/>
      <c r="AA84" s="191" t="s"/>
    </row>
    <row r="85" spans="1:27" s="478" customFormat="true">
      <c r="A85" s="189" t="s"/>
      <c r="B85" s="138" t="s"/>
      <c r="C85" s="138" t="s"/>
      <c r="D85" s="190" t="s">
        <v>955</v>
      </c>
      <c r="E85" s="190" t="s">
        <v>956</v>
      </c>
      <c r="F85" s="138" t="s">
        <v>258</v>
      </c>
      <c r="G85" s="138" t="s">
        <v>19</v>
      </c>
      <c r="H85" s="138" t="s"/>
      <c r="I85" s="188" t="s">
        <v>138</v>
      </c>
      <c r="J85" s="150" t="s">
        <v>778</v>
      </c>
      <c r="K85" s="138">
        <v>3</v>
      </c>
      <c r="L85" s="138" t="s"/>
      <c r="M85" s="191" t="s"/>
      <c r="N85" s="191" t="s"/>
      <c r="O85" s="191" t="s"/>
      <c r="P85" s="191" t="s"/>
      <c r="Q85" s="191" t="s"/>
      <c r="R85" s="191" t="s"/>
      <c r="S85" s="191" t="s"/>
      <c r="T85" s="191" t="s"/>
      <c r="U85" s="191" t="s"/>
      <c r="V85" s="191" t="s"/>
      <c r="W85" s="191" t="s"/>
      <c r="X85" s="191" t="s"/>
      <c r="Y85" s="191" t="s"/>
      <c r="Z85" s="191" t="s"/>
      <c r="AA85" s="191" t="s"/>
    </row>
    <row r="86" spans="1:27" s="478" customFormat="true">
      <c r="A86" s="189" t="s"/>
      <c r="B86" s="138" t="s"/>
      <c r="C86" s="138" t="s"/>
      <c r="D86" s="190" t="s">
        <v>957</v>
      </c>
      <c r="E86" s="190" t="s">
        <v>958</v>
      </c>
      <c r="F86" s="138" t="s">
        <v>258</v>
      </c>
      <c r="G86" s="138" t="s">
        <v>19</v>
      </c>
      <c r="H86" s="138" t="s"/>
      <c r="I86" s="188" t="s">
        <v>138</v>
      </c>
      <c r="J86" s="150" t="s">
        <v>778</v>
      </c>
      <c r="K86" s="138">
        <v>3</v>
      </c>
      <c r="L86" s="138" t="s"/>
      <c r="M86" s="191" t="s"/>
      <c r="N86" s="191" t="s"/>
      <c r="O86" s="191" t="s"/>
      <c r="P86" s="191" t="s"/>
      <c r="Q86" s="191" t="s"/>
      <c r="R86" s="191" t="s"/>
      <c r="S86" s="191" t="s"/>
      <c r="T86" s="191" t="s"/>
      <c r="U86" s="191" t="s"/>
      <c r="V86" s="191" t="s"/>
      <c r="W86" s="191" t="s"/>
      <c r="X86" s="191" t="s"/>
      <c r="Y86" s="191" t="s"/>
      <c r="Z86" s="191" t="s"/>
      <c r="AA86" s="191" t="s"/>
    </row>
    <row r="87" spans="1:27" s="478" customFormat="true">
      <c r="A87" s="189" t="s"/>
      <c r="B87" s="138" t="s"/>
      <c r="C87" s="138" t="s"/>
      <c r="D87" s="190" t="s">
        <v>959</v>
      </c>
      <c r="E87" s="190" t="s">
        <v>960</v>
      </c>
      <c r="F87" s="138" t="s">
        <v>258</v>
      </c>
      <c r="G87" s="138" t="s">
        <v>19</v>
      </c>
      <c r="H87" s="138" t="s"/>
      <c r="I87" s="188" t="s">
        <v>138</v>
      </c>
      <c r="J87" s="150" t="s">
        <v>778</v>
      </c>
      <c r="K87" s="138">
        <v>3</v>
      </c>
      <c r="L87" s="138" t="s"/>
      <c r="M87" s="191" t="s"/>
      <c r="N87" s="191" t="s"/>
      <c r="O87" s="191" t="s"/>
      <c r="P87" s="191" t="s"/>
      <c r="Q87" s="191" t="s"/>
      <c r="R87" s="191" t="s"/>
      <c r="S87" s="191" t="s"/>
      <c r="T87" s="191" t="s"/>
      <c r="U87" s="191" t="s"/>
      <c r="V87" s="191" t="s"/>
      <c r="W87" s="191" t="s"/>
      <c r="X87" s="191" t="s"/>
      <c r="Y87" s="191" t="s"/>
      <c r="Z87" s="191" t="s"/>
      <c r="AA87" s="191" t="s"/>
    </row>
    <row r="88" spans="1:27" s="478" customFormat="true">
      <c r="A88" s="189" t="s"/>
      <c r="B88" s="138" t="s"/>
      <c r="C88" s="138" t="s"/>
      <c r="D88" s="190" t="s">
        <v>961</v>
      </c>
      <c r="E88" s="190" t="s">
        <v>962</v>
      </c>
      <c r="F88" s="138" t="s">
        <v>258</v>
      </c>
      <c r="G88" s="138" t="s">
        <v>19</v>
      </c>
      <c r="H88" s="138" t="s"/>
      <c r="I88" s="188" t="s">
        <v>138</v>
      </c>
      <c r="J88" s="150" t="s">
        <v>778</v>
      </c>
      <c r="K88" s="138">
        <v>3</v>
      </c>
      <c r="L88" s="138" t="s"/>
      <c r="M88" s="191" t="s"/>
      <c r="N88" s="191" t="s"/>
      <c r="O88" s="191" t="s"/>
      <c r="P88" s="191" t="s"/>
      <c r="Q88" s="191" t="s"/>
      <c r="R88" s="191" t="s"/>
      <c r="S88" s="191" t="s"/>
      <c r="T88" s="191" t="s"/>
      <c r="U88" s="191" t="s"/>
      <c r="V88" s="191" t="s"/>
      <c r="W88" s="191" t="s"/>
      <c r="X88" s="191" t="s"/>
      <c r="Y88" s="191" t="s"/>
      <c r="Z88" s="191" t="s"/>
      <c r="AA88" s="191" t="s"/>
    </row>
    <row r="89" spans="1:27" s="478" customFormat="true">
      <c r="A89" s="189" t="s"/>
      <c r="B89" s="138" t="s"/>
      <c r="C89" s="138" t="s"/>
      <c r="D89" s="190" t="s">
        <v>963</v>
      </c>
      <c r="E89" s="190" t="s">
        <v>964</v>
      </c>
      <c r="F89" s="138" t="s">
        <v>258</v>
      </c>
      <c r="G89" s="138" t="s">
        <v>19</v>
      </c>
      <c r="H89" s="138" t="s"/>
      <c r="I89" s="188" t="s">
        <v>138</v>
      </c>
      <c r="J89" s="150" t="s">
        <v>778</v>
      </c>
      <c r="K89" s="138">
        <v>3</v>
      </c>
      <c r="L89" s="138" t="s"/>
      <c r="M89" s="191" t="s"/>
      <c r="N89" s="191" t="s"/>
      <c r="O89" s="191" t="s"/>
      <c r="P89" s="191" t="s"/>
      <c r="Q89" s="191" t="s"/>
      <c r="R89" s="191" t="s"/>
      <c r="S89" s="191" t="s"/>
      <c r="T89" s="191" t="s"/>
      <c r="U89" s="191" t="s"/>
      <c r="V89" s="191" t="s"/>
      <c r="W89" s="191" t="s"/>
      <c r="X89" s="191" t="s"/>
      <c r="Y89" s="191" t="s"/>
      <c r="Z89" s="191" t="s"/>
      <c r="AA89" s="191" t="s"/>
    </row>
    <row r="90" spans="1:27" s="478" customFormat="true">
      <c r="A90" s="189" t="s"/>
      <c r="B90" s="138" t="s"/>
      <c r="C90" s="138" t="s"/>
      <c r="D90" s="190" t="s">
        <v>965</v>
      </c>
      <c r="E90" s="190" t="s">
        <v>966</v>
      </c>
      <c r="F90" s="138" t="s">
        <v>258</v>
      </c>
      <c r="G90" s="138" t="s">
        <v>19</v>
      </c>
      <c r="H90" s="138" t="s"/>
      <c r="I90" s="188" t="s">
        <v>138</v>
      </c>
      <c r="J90" s="150" t="s">
        <v>778</v>
      </c>
      <c r="K90" s="138">
        <v>3</v>
      </c>
      <c r="L90" s="138" t="s"/>
      <c r="M90" s="191" t="s"/>
      <c r="N90" s="191" t="s"/>
      <c r="O90" s="191" t="s"/>
      <c r="P90" s="191" t="s"/>
      <c r="Q90" s="191" t="s"/>
      <c r="R90" s="191" t="s"/>
      <c r="S90" s="191" t="s"/>
      <c r="T90" s="191" t="s"/>
      <c r="U90" s="191" t="s"/>
      <c r="V90" s="191" t="s"/>
      <c r="W90" s="191" t="s"/>
      <c r="X90" s="191" t="s"/>
      <c r="Y90" s="191" t="s"/>
      <c r="Z90" s="191" t="s"/>
      <c r="AA90" s="191" t="s"/>
    </row>
    <row r="91" spans="1:27" s="478" customFormat="true">
      <c r="A91" s="189" t="s"/>
      <c r="B91" s="138" t="s"/>
      <c r="C91" s="138" t="s"/>
      <c r="D91" s="190" t="s">
        <v>967</v>
      </c>
      <c r="E91" s="190" t="s">
        <v>968</v>
      </c>
      <c r="F91" s="138" t="s">
        <v>258</v>
      </c>
      <c r="G91" s="138" t="s">
        <v>19</v>
      </c>
      <c r="H91" s="138" t="s"/>
      <c r="I91" s="188" t="s">
        <v>138</v>
      </c>
      <c r="J91" s="150" t="s">
        <v>778</v>
      </c>
      <c r="K91" s="138">
        <v>3</v>
      </c>
      <c r="L91" s="138" t="s"/>
      <c r="M91" s="191" t="s"/>
      <c r="N91" s="191" t="s"/>
      <c r="O91" s="191" t="s"/>
      <c r="P91" s="191" t="s"/>
      <c r="Q91" s="191" t="s"/>
      <c r="R91" s="191" t="s"/>
      <c r="S91" s="191" t="s"/>
      <c r="T91" s="191" t="s"/>
      <c r="U91" s="191" t="s"/>
      <c r="V91" s="191" t="s"/>
      <c r="W91" s="191" t="s"/>
      <c r="X91" s="191" t="s"/>
      <c r="Y91" s="191" t="s"/>
      <c r="Z91" s="191" t="s"/>
      <c r="AA91" s="191" t="s"/>
    </row>
    <row r="92" spans="1:27" s="478" customFormat="true">
      <c r="A92" s="189" t="s"/>
      <c r="B92" s="138" t="s"/>
      <c r="C92" s="138" t="s"/>
      <c r="D92" s="190" t="s">
        <v>969</v>
      </c>
      <c r="E92" s="190" t="s">
        <v>970</v>
      </c>
      <c r="F92" s="138" t="s">
        <v>258</v>
      </c>
      <c r="G92" s="138" t="s">
        <v>19</v>
      </c>
      <c r="H92" s="138" t="s"/>
      <c r="I92" s="188" t="s">
        <v>138</v>
      </c>
      <c r="J92" s="150" t="s">
        <v>778</v>
      </c>
      <c r="K92" s="138">
        <v>3</v>
      </c>
      <c r="L92" s="138" t="s"/>
      <c r="M92" s="191" t="s"/>
      <c r="N92" s="191" t="s"/>
      <c r="O92" s="191" t="s"/>
      <c r="P92" s="191" t="s"/>
      <c r="Q92" s="191" t="s"/>
      <c r="R92" s="191" t="s"/>
      <c r="S92" s="191" t="s"/>
      <c r="T92" s="191" t="s"/>
      <c r="U92" s="191" t="s"/>
      <c r="V92" s="191" t="s"/>
      <c r="W92" s="191" t="s"/>
      <c r="X92" s="191" t="s"/>
      <c r="Y92" s="191" t="s"/>
      <c r="Z92" s="191" t="s"/>
      <c r="AA92" s="191" t="s"/>
    </row>
    <row r="93" spans="1:27" s="478" customFormat="true">
      <c r="A93" s="189" t="s"/>
      <c r="B93" s="138" t="s"/>
      <c r="C93" s="138" t="s"/>
      <c r="D93" s="190" t="s">
        <v>971</v>
      </c>
      <c r="E93" s="190" t="s">
        <v>972</v>
      </c>
      <c r="F93" s="138" t="s">
        <v>258</v>
      </c>
      <c r="G93" s="138" t="s">
        <v>19</v>
      </c>
      <c r="H93" s="138" t="s"/>
      <c r="I93" s="188" t="s">
        <v>138</v>
      </c>
      <c r="J93" s="150" t="s">
        <v>778</v>
      </c>
      <c r="K93" s="138">
        <v>3</v>
      </c>
      <c r="L93" s="138" t="s"/>
      <c r="M93" s="191" t="s"/>
      <c r="N93" s="191" t="s"/>
      <c r="O93" s="191" t="s"/>
      <c r="P93" s="191" t="s"/>
      <c r="Q93" s="191" t="s"/>
      <c r="R93" s="191" t="s"/>
      <c r="S93" s="191" t="s"/>
      <c r="T93" s="191" t="s"/>
      <c r="U93" s="191" t="s"/>
      <c r="V93" s="191" t="s"/>
      <c r="W93" s="191" t="s"/>
      <c r="X93" s="191" t="s"/>
      <c r="Y93" s="191" t="s"/>
      <c r="Z93" s="191" t="s"/>
      <c r="AA93" s="191" t="s"/>
    </row>
    <row r="94" spans="1:27" s="478" customFormat="true">
      <c r="A94" s="189" t="s"/>
      <c r="B94" s="138" t="s"/>
      <c r="C94" s="138" t="s"/>
      <c r="D94" s="190" t="s">
        <v>973</v>
      </c>
      <c r="E94" s="190" t="s">
        <v>974</v>
      </c>
      <c r="F94" s="138" t="s">
        <v>258</v>
      </c>
      <c r="G94" s="138" t="s">
        <v>19</v>
      </c>
      <c r="H94" s="138" t="s"/>
      <c r="I94" s="188" t="s">
        <v>138</v>
      </c>
      <c r="J94" s="150" t="s">
        <v>778</v>
      </c>
      <c r="K94" s="138">
        <v>3</v>
      </c>
      <c r="L94" s="138" t="s"/>
      <c r="M94" s="191" t="s"/>
      <c r="N94" s="191" t="s"/>
      <c r="O94" s="191" t="s"/>
      <c r="P94" s="191" t="s"/>
      <c r="Q94" s="191" t="s"/>
      <c r="R94" s="191" t="s"/>
      <c r="S94" s="191" t="s"/>
      <c r="T94" s="191" t="s"/>
      <c r="U94" s="191" t="s"/>
      <c r="V94" s="191" t="s"/>
      <c r="W94" s="191" t="s"/>
      <c r="X94" s="191" t="s"/>
      <c r="Y94" s="191" t="s"/>
      <c r="Z94" s="191" t="s"/>
      <c r="AA94" s="191" t="s"/>
    </row>
    <row r="95" spans="1:27" s="478" customFormat="true">
      <c r="A95" s="189" t="s"/>
      <c r="B95" s="138" t="s"/>
      <c r="C95" s="138" t="s"/>
      <c r="D95" s="190" t="s">
        <v>975</v>
      </c>
      <c r="E95" s="190" t="s">
        <v>976</v>
      </c>
      <c r="F95" s="138" t="s">
        <v>258</v>
      </c>
      <c r="G95" s="138" t="s">
        <v>19</v>
      </c>
      <c r="H95" s="138" t="s"/>
      <c r="I95" s="188" t="s">
        <v>138</v>
      </c>
      <c r="J95" s="150" t="s">
        <v>778</v>
      </c>
      <c r="K95" s="138">
        <v>3</v>
      </c>
      <c r="L95" s="138" t="s"/>
      <c r="M95" s="191" t="s"/>
      <c r="N95" s="191" t="s"/>
      <c r="O95" s="191" t="s"/>
      <c r="P95" s="191" t="s"/>
      <c r="Q95" s="191" t="s"/>
      <c r="R95" s="191" t="s"/>
      <c r="S95" s="191" t="s"/>
      <c r="T95" s="191" t="s"/>
      <c r="U95" s="191" t="s"/>
      <c r="V95" s="191" t="s"/>
      <c r="W95" s="191" t="s"/>
      <c r="X95" s="191" t="s"/>
      <c r="Y95" s="191" t="s"/>
      <c r="Z95" s="191" t="s"/>
      <c r="AA95" s="191" t="s"/>
    </row>
    <row r="96" spans="1:27" s="478" customFormat="true">
      <c r="A96" s="189" t="s"/>
      <c r="B96" s="138" t="s"/>
      <c r="C96" s="138" t="s"/>
      <c r="D96" s="190" t="s">
        <v>977</v>
      </c>
      <c r="E96" s="190" t="s">
        <v>978</v>
      </c>
      <c r="F96" s="138" t="s">
        <v>258</v>
      </c>
      <c r="G96" s="138" t="s">
        <v>19</v>
      </c>
      <c r="H96" s="138" t="s"/>
      <c r="I96" s="188" t="s">
        <v>138</v>
      </c>
      <c r="J96" s="150" t="s">
        <v>778</v>
      </c>
      <c r="K96" s="138">
        <v>3</v>
      </c>
      <c r="L96" s="138" t="s"/>
      <c r="M96" s="191" t="s"/>
      <c r="N96" s="191" t="s"/>
      <c r="O96" s="191" t="s"/>
      <c r="P96" s="191" t="s"/>
      <c r="Q96" s="191" t="s"/>
      <c r="R96" s="191" t="s"/>
      <c r="S96" s="191" t="s"/>
      <c r="T96" s="191" t="s"/>
      <c r="U96" s="191" t="s"/>
      <c r="V96" s="191" t="s"/>
      <c r="W96" s="191" t="s"/>
      <c r="X96" s="191" t="s"/>
      <c r="Y96" s="191" t="s"/>
      <c r="Z96" s="191" t="s"/>
      <c r="AA96" s="191" t="s"/>
    </row>
    <row r="97" spans="1:27" s="478" customFormat="true">
      <c r="A97" s="189" t="s"/>
      <c r="B97" s="138" t="s"/>
      <c r="C97" s="138" t="s"/>
      <c r="D97" s="190" t="s">
        <v>979</v>
      </c>
      <c r="E97" s="190" t="s">
        <v>980</v>
      </c>
      <c r="F97" s="138" t="s">
        <v>258</v>
      </c>
      <c r="G97" s="138" t="s">
        <v>19</v>
      </c>
      <c r="H97" s="138" t="s"/>
      <c r="I97" s="188" t="s">
        <v>138</v>
      </c>
      <c r="J97" s="150" t="s">
        <v>778</v>
      </c>
      <c r="K97" s="138">
        <v>3</v>
      </c>
      <c r="L97" s="138" t="s"/>
      <c r="M97" s="191" t="s"/>
      <c r="N97" s="191" t="s"/>
      <c r="O97" s="191" t="s"/>
      <c r="P97" s="191" t="s"/>
      <c r="Q97" s="191" t="s"/>
      <c r="R97" s="191" t="s"/>
      <c r="S97" s="191" t="s"/>
      <c r="T97" s="191" t="s"/>
      <c r="U97" s="191" t="s"/>
      <c r="V97" s="191" t="s"/>
      <c r="W97" s="191" t="s"/>
      <c r="X97" s="191" t="s"/>
      <c r="Y97" s="191" t="s"/>
      <c r="Z97" s="191" t="s"/>
      <c r="AA97" s="191" t="s"/>
    </row>
    <row r="98" spans="1:27" s="478" customFormat="true">
      <c r="A98" s="189" t="s"/>
      <c r="B98" s="138" t="s"/>
      <c r="C98" s="138" t="s"/>
      <c r="D98" s="190" t="s">
        <v>981</v>
      </c>
      <c r="E98" s="190" t="s">
        <v>982</v>
      </c>
      <c r="F98" s="138" t="s">
        <v>258</v>
      </c>
      <c r="G98" s="138" t="s">
        <v>19</v>
      </c>
      <c r="H98" s="138" t="s"/>
      <c r="I98" s="188" t="s">
        <v>138</v>
      </c>
      <c r="J98" s="150" t="s">
        <v>778</v>
      </c>
      <c r="K98" s="138">
        <v>3</v>
      </c>
      <c r="L98" s="138" t="s"/>
      <c r="M98" s="191" t="s"/>
      <c r="N98" s="191" t="s"/>
      <c r="O98" s="191" t="s"/>
      <c r="P98" s="191" t="s"/>
      <c r="Q98" s="191" t="s"/>
      <c r="R98" s="191" t="s"/>
      <c r="S98" s="191" t="s"/>
      <c r="T98" s="191" t="s"/>
      <c r="U98" s="191" t="s"/>
      <c r="V98" s="191" t="s"/>
      <c r="W98" s="191" t="s"/>
      <c r="X98" s="191" t="s"/>
      <c r="Y98" s="191" t="s"/>
      <c r="Z98" s="191" t="s"/>
      <c r="AA98" s="191" t="s"/>
    </row>
    <row r="99" spans="1:27" s="478" customFormat="true">
      <c r="A99" s="189" t="s"/>
      <c r="B99" s="138" t="s"/>
      <c r="C99" s="138" t="s"/>
      <c r="D99" s="190" t="s">
        <v>983</v>
      </c>
      <c r="E99" s="190" t="s">
        <v>984</v>
      </c>
      <c r="F99" s="138" t="s">
        <v>258</v>
      </c>
      <c r="G99" s="138" t="s">
        <v>19</v>
      </c>
      <c r="H99" s="138" t="s"/>
      <c r="I99" s="188" t="s">
        <v>138</v>
      </c>
      <c r="J99" s="150" t="s">
        <v>778</v>
      </c>
      <c r="K99" s="138">
        <v>3</v>
      </c>
      <c r="L99" s="138" t="s"/>
      <c r="M99" s="191" t="s"/>
      <c r="N99" s="191" t="s"/>
      <c r="O99" s="191" t="s"/>
      <c r="P99" s="191" t="s"/>
      <c r="Q99" s="191" t="s"/>
      <c r="R99" s="191" t="s"/>
      <c r="S99" s="191" t="s"/>
      <c r="T99" s="191" t="s"/>
      <c r="U99" s="191" t="s"/>
      <c r="V99" s="191" t="s"/>
      <c r="W99" s="191" t="s"/>
      <c r="X99" s="191" t="s"/>
      <c r="Y99" s="191" t="s"/>
      <c r="Z99" s="191" t="s"/>
      <c r="AA99" s="191" t="s"/>
    </row>
    <row r="100" spans="1:27" s="478" customFormat="true">
      <c r="A100" s="189" t="s"/>
      <c r="B100" s="138" t="s"/>
      <c r="C100" s="138" t="s"/>
      <c r="D100" s="190" t="s">
        <v>985</v>
      </c>
      <c r="E100" s="190" t="s">
        <v>986</v>
      </c>
      <c r="F100" s="138" t="s">
        <v>258</v>
      </c>
      <c r="G100" s="138" t="s">
        <v>19</v>
      </c>
      <c r="H100" s="138" t="s"/>
      <c r="I100" s="188" t="s">
        <v>138</v>
      </c>
      <c r="J100" s="150" t="s">
        <v>778</v>
      </c>
      <c r="K100" s="138">
        <v>3</v>
      </c>
      <c r="L100" s="138" t="s"/>
      <c r="M100" s="191" t="s"/>
      <c r="N100" s="191" t="s"/>
      <c r="O100" s="191" t="s"/>
      <c r="P100" s="191" t="s"/>
      <c r="Q100" s="191" t="s"/>
      <c r="R100" s="191" t="s"/>
      <c r="S100" s="191" t="s"/>
      <c r="T100" s="191" t="s"/>
      <c r="U100" s="191" t="s"/>
      <c r="V100" s="191" t="s"/>
      <c r="W100" s="191" t="s"/>
      <c r="X100" s="191" t="s"/>
      <c r="Y100" s="191" t="s"/>
      <c r="Z100" s="191" t="s"/>
      <c r="AA100" s="191" t="s"/>
    </row>
    <row r="101" spans="1:27" s="478" customFormat="true">
      <c r="A101" s="189" t="s"/>
      <c r="B101" s="138" t="s"/>
      <c r="C101" s="138" t="s"/>
      <c r="D101" s="190" t="s">
        <v>987</v>
      </c>
      <c r="E101" s="190" t="s">
        <v>988</v>
      </c>
      <c r="F101" s="138" t="s">
        <v>258</v>
      </c>
      <c r="G101" s="138" t="s">
        <v>19</v>
      </c>
      <c r="H101" s="138" t="s"/>
      <c r="I101" s="188" t="s">
        <v>138</v>
      </c>
      <c r="J101" s="150" t="s">
        <v>778</v>
      </c>
      <c r="K101" s="138">
        <v>3</v>
      </c>
      <c r="L101" s="138" t="s"/>
      <c r="M101" s="191" t="s"/>
      <c r="N101" s="191" t="s"/>
      <c r="O101" s="191" t="s"/>
      <c r="P101" s="191" t="s"/>
      <c r="Q101" s="191" t="s"/>
      <c r="R101" s="191" t="s"/>
      <c r="S101" s="191" t="s"/>
      <c r="T101" s="191" t="s"/>
      <c r="U101" s="191" t="s"/>
      <c r="V101" s="191" t="s"/>
      <c r="W101" s="191" t="s"/>
      <c r="X101" s="191" t="s"/>
      <c r="Y101" s="191" t="s"/>
      <c r="Z101" s="191" t="s"/>
      <c r="AA101" s="191" t="s"/>
    </row>
    <row r="102" spans="1:27" s="478" customFormat="true">
      <c r="A102" s="189" t="s"/>
      <c r="B102" s="138" t="s"/>
      <c r="C102" s="138" t="s"/>
      <c r="D102" s="190" t="s">
        <v>989</v>
      </c>
      <c r="E102" s="190" t="s">
        <v>990</v>
      </c>
      <c r="F102" s="138" t="s">
        <v>258</v>
      </c>
      <c r="G102" s="138" t="s">
        <v>19</v>
      </c>
      <c r="H102" s="138" t="s"/>
      <c r="I102" s="188" t="s">
        <v>138</v>
      </c>
      <c r="J102" s="150" t="s">
        <v>778</v>
      </c>
      <c r="K102" s="138">
        <v>3</v>
      </c>
      <c r="L102" s="138" t="s"/>
      <c r="M102" s="191" t="s"/>
      <c r="N102" s="191" t="s"/>
      <c r="O102" s="191" t="s"/>
      <c r="P102" s="191" t="s"/>
      <c r="Q102" s="191" t="s"/>
      <c r="R102" s="191" t="s"/>
      <c r="S102" s="191" t="s"/>
      <c r="T102" s="191" t="s"/>
      <c r="U102" s="191" t="s"/>
      <c r="V102" s="191" t="s"/>
      <c r="W102" s="191" t="s"/>
      <c r="X102" s="191" t="s"/>
      <c r="Y102" s="191" t="s"/>
      <c r="Z102" s="191" t="s"/>
      <c r="AA102" s="191" t="s"/>
    </row>
    <row r="103" spans="1:27" s="478" customFormat="true">
      <c r="A103" s="189" t="s"/>
      <c r="B103" s="138" t="s"/>
      <c r="C103" s="138" t="s"/>
      <c r="D103" s="190" t="s">
        <v>991</v>
      </c>
      <c r="E103" s="190" t="s">
        <v>992</v>
      </c>
      <c r="F103" s="138" t="s">
        <v>258</v>
      </c>
      <c r="G103" s="138" t="s">
        <v>19</v>
      </c>
      <c r="H103" s="138" t="s"/>
      <c r="I103" s="188" t="s">
        <v>138</v>
      </c>
      <c r="J103" s="150" t="s">
        <v>778</v>
      </c>
      <c r="K103" s="138">
        <v>3</v>
      </c>
      <c r="L103" s="138" t="s"/>
      <c r="M103" s="191" t="s"/>
      <c r="N103" s="191" t="s"/>
      <c r="O103" s="191" t="s"/>
      <c r="P103" s="191" t="s"/>
      <c r="Q103" s="191" t="s"/>
      <c r="R103" s="191" t="s"/>
      <c r="S103" s="191" t="s"/>
      <c r="T103" s="191" t="s"/>
      <c r="U103" s="191" t="s"/>
      <c r="V103" s="191" t="s"/>
      <c r="W103" s="191" t="s"/>
      <c r="X103" s="191" t="s"/>
      <c r="Y103" s="191" t="s"/>
      <c r="Z103" s="191" t="s"/>
      <c r="AA103" s="191" t="s"/>
    </row>
    <row r="104" spans="1:27" s="478" customFormat="true">
      <c r="A104" s="189" t="s"/>
      <c r="B104" s="138" t="s"/>
      <c r="C104" s="138" t="s"/>
      <c r="D104" s="190" t="s">
        <v>993</v>
      </c>
      <c r="E104" s="190" t="s">
        <v>994</v>
      </c>
      <c r="F104" s="138" t="s">
        <v>258</v>
      </c>
      <c r="G104" s="138" t="s">
        <v>19</v>
      </c>
      <c r="H104" s="138" t="s"/>
      <c r="I104" s="188" t="s">
        <v>138</v>
      </c>
      <c r="J104" s="150" t="s">
        <v>778</v>
      </c>
      <c r="K104" s="138">
        <v>3</v>
      </c>
      <c r="L104" s="138" t="s"/>
      <c r="M104" s="191" t="s"/>
      <c r="N104" s="191" t="s"/>
      <c r="O104" s="191" t="s"/>
      <c r="P104" s="191" t="s"/>
      <c r="Q104" s="191" t="s"/>
      <c r="R104" s="191" t="s"/>
      <c r="S104" s="191" t="s"/>
      <c r="T104" s="191" t="s"/>
      <c r="U104" s="191" t="s"/>
      <c r="V104" s="191" t="s"/>
      <c r="W104" s="191" t="s"/>
      <c r="X104" s="191" t="s"/>
      <c r="Y104" s="191" t="s"/>
      <c r="Z104" s="191" t="s"/>
      <c r="AA104" s="191" t="s"/>
    </row>
    <row r="105" spans="1:27" s="478" customFormat="true">
      <c r="A105" s="189" t="s"/>
      <c r="B105" s="138" t="s"/>
      <c r="C105" s="138" t="s"/>
      <c r="D105" s="190" t="s">
        <v>995</v>
      </c>
      <c r="E105" s="190" t="s">
        <v>996</v>
      </c>
      <c r="F105" s="138" t="s">
        <v>258</v>
      </c>
      <c r="G105" s="138" t="s">
        <v>19</v>
      </c>
      <c r="H105" s="138" t="s"/>
      <c r="I105" s="188" t="s">
        <v>138</v>
      </c>
      <c r="J105" s="150" t="s">
        <v>778</v>
      </c>
      <c r="K105" s="138">
        <v>3</v>
      </c>
      <c r="L105" s="138" t="s"/>
      <c r="M105" s="191" t="s"/>
      <c r="N105" s="191" t="s"/>
      <c r="O105" s="191" t="s"/>
      <c r="P105" s="191" t="s"/>
      <c r="Q105" s="191" t="s"/>
      <c r="R105" s="191" t="s"/>
      <c r="S105" s="191" t="s"/>
      <c r="T105" s="191" t="s"/>
      <c r="U105" s="191" t="s"/>
      <c r="V105" s="191" t="s"/>
      <c r="W105" s="191" t="s"/>
      <c r="X105" s="191" t="s"/>
      <c r="Y105" s="191" t="s"/>
      <c r="Z105" s="191" t="s"/>
      <c r="AA105" s="191" t="s"/>
    </row>
    <row r="106" spans="1:27" s="478" customFormat="true">
      <c r="A106" s="189" t="s"/>
      <c r="B106" s="138" t="s"/>
      <c r="C106" s="138" t="s"/>
      <c r="D106" s="190" t="s">
        <v>997</v>
      </c>
      <c r="E106" s="190" t="s">
        <v>998</v>
      </c>
      <c r="F106" s="138" t="s">
        <v>258</v>
      </c>
      <c r="G106" s="138" t="s">
        <v>19</v>
      </c>
      <c r="H106" s="138" t="s"/>
      <c r="I106" s="188" t="s">
        <v>138</v>
      </c>
      <c r="J106" s="150" t="s">
        <v>778</v>
      </c>
      <c r="K106" s="138">
        <v>3</v>
      </c>
      <c r="L106" s="138" t="s"/>
      <c r="M106" s="191" t="s"/>
      <c r="N106" s="191" t="s"/>
      <c r="O106" s="191" t="s"/>
      <c r="P106" s="191" t="s"/>
      <c r="Q106" s="191" t="s"/>
      <c r="R106" s="191" t="s"/>
      <c r="S106" s="191" t="s"/>
      <c r="T106" s="191" t="s"/>
      <c r="U106" s="191" t="s"/>
      <c r="V106" s="191" t="s"/>
      <c r="W106" s="191" t="s"/>
      <c r="X106" s="191" t="s"/>
      <c r="Y106" s="191" t="s"/>
      <c r="Z106" s="191" t="s"/>
      <c r="AA106" s="191" t="s"/>
    </row>
    <row r="107" spans="1:27" s="478" customFormat="true">
      <c r="A107" s="189" t="s"/>
      <c r="B107" s="138" t="s"/>
      <c r="C107" s="138" t="s"/>
      <c r="D107" s="190" t="s">
        <v>999</v>
      </c>
      <c r="E107" s="190" t="s">
        <v>1000</v>
      </c>
      <c r="F107" s="138" t="s">
        <v>258</v>
      </c>
      <c r="G107" s="138" t="s">
        <v>19</v>
      </c>
      <c r="H107" s="138" t="s"/>
      <c r="I107" s="188" t="s">
        <v>138</v>
      </c>
      <c r="J107" s="150" t="s">
        <v>778</v>
      </c>
      <c r="K107" s="138">
        <v>3</v>
      </c>
      <c r="L107" s="138" t="s"/>
      <c r="M107" s="191" t="s"/>
      <c r="N107" s="191" t="s"/>
      <c r="O107" s="191" t="s"/>
      <c r="P107" s="191" t="s"/>
      <c r="Q107" s="191" t="s"/>
      <c r="R107" s="191" t="s"/>
      <c r="S107" s="191" t="s"/>
      <c r="T107" s="191" t="s"/>
      <c r="U107" s="191" t="s"/>
      <c r="V107" s="191" t="s"/>
      <c r="W107" s="191" t="s"/>
      <c r="X107" s="191" t="s"/>
      <c r="Y107" s="191" t="s"/>
      <c r="Z107" s="191" t="s"/>
      <c r="AA107" s="191" t="s"/>
    </row>
    <row r="108" spans="1:27" s="478" customFormat="true">
      <c r="A108" s="189" t="s"/>
      <c r="B108" s="138" t="s"/>
      <c r="C108" s="138" t="s"/>
      <c r="D108" s="190" t="s">
        <v>1001</v>
      </c>
      <c r="E108" s="190" t="s">
        <v>1002</v>
      </c>
      <c r="F108" s="138" t="s">
        <v>258</v>
      </c>
      <c r="G108" s="138" t="s">
        <v>19</v>
      </c>
      <c r="H108" s="138" t="s"/>
      <c r="I108" s="188" t="s">
        <v>138</v>
      </c>
      <c r="J108" s="150" t="s">
        <v>778</v>
      </c>
      <c r="K108" s="138">
        <v>3</v>
      </c>
      <c r="L108" s="138" t="s"/>
      <c r="M108" s="191" t="s"/>
      <c r="N108" s="191" t="s"/>
      <c r="O108" s="191" t="s"/>
      <c r="P108" s="191" t="s"/>
      <c r="Q108" s="191" t="s"/>
      <c r="R108" s="191" t="s"/>
      <c r="S108" s="191" t="s"/>
      <c r="T108" s="191" t="s"/>
      <c r="U108" s="191" t="s"/>
      <c r="V108" s="191" t="s"/>
      <c r="W108" s="191" t="s"/>
      <c r="X108" s="191" t="s"/>
      <c r="Y108" s="191" t="s"/>
      <c r="Z108" s="191" t="s"/>
      <c r="AA108" s="191" t="s"/>
    </row>
    <row r="109" spans="1:27" s="478" customFormat="true">
      <c r="A109" s="189" t="s"/>
      <c r="B109" s="138" t="s"/>
      <c r="C109" s="138" t="s"/>
      <c r="D109" s="190" t="s">
        <v>1003</v>
      </c>
      <c r="E109" s="190" t="s">
        <v>1004</v>
      </c>
      <c r="F109" s="138" t="s">
        <v>258</v>
      </c>
      <c r="G109" s="138" t="s">
        <v>19</v>
      </c>
      <c r="H109" s="138" t="s"/>
      <c r="I109" s="188" t="s">
        <v>138</v>
      </c>
      <c r="J109" s="150" t="s">
        <v>778</v>
      </c>
      <c r="K109" s="138">
        <v>3</v>
      </c>
      <c r="L109" s="138" t="s"/>
      <c r="M109" s="191" t="s"/>
      <c r="N109" s="191" t="s"/>
      <c r="O109" s="191" t="s"/>
      <c r="P109" s="191" t="s"/>
      <c r="Q109" s="191" t="s"/>
      <c r="R109" s="191" t="s"/>
      <c r="S109" s="191" t="s"/>
      <c r="T109" s="191" t="s"/>
      <c r="U109" s="191" t="s"/>
      <c r="V109" s="191" t="s"/>
      <c r="W109" s="191" t="s"/>
      <c r="X109" s="191" t="s"/>
      <c r="Y109" s="191" t="s"/>
      <c r="Z109" s="191" t="s"/>
      <c r="AA109" s="191" t="s"/>
    </row>
    <row r="110" spans="1:27" s="478" customFormat="true">
      <c r="A110" s="189" t="s"/>
      <c r="B110" s="138" t="s"/>
      <c r="C110" s="138" t="s"/>
      <c r="D110" s="190" t="s">
        <v>1005</v>
      </c>
      <c r="E110" s="190" t="s">
        <v>1006</v>
      </c>
      <c r="F110" s="138" t="s">
        <v>258</v>
      </c>
      <c r="G110" s="138" t="s">
        <v>19</v>
      </c>
      <c r="H110" s="138" t="s"/>
      <c r="I110" s="188" t="s">
        <v>138</v>
      </c>
      <c r="J110" s="150" t="s">
        <v>778</v>
      </c>
      <c r="K110" s="138">
        <v>3</v>
      </c>
      <c r="L110" s="138" t="s"/>
      <c r="M110" s="191" t="s"/>
      <c r="N110" s="191" t="s"/>
      <c r="O110" s="191" t="s"/>
      <c r="P110" s="191" t="s"/>
      <c r="Q110" s="191" t="s"/>
      <c r="R110" s="191" t="s"/>
      <c r="S110" s="191" t="s"/>
      <c r="T110" s="191" t="s"/>
      <c r="U110" s="191" t="s"/>
      <c r="V110" s="191" t="s"/>
      <c r="W110" s="191" t="s"/>
      <c r="X110" s="191" t="s"/>
      <c r="Y110" s="191" t="s"/>
      <c r="Z110" s="191" t="s"/>
      <c r="AA110" s="191" t="s"/>
    </row>
    <row r="111" spans="1:27" s="478" customFormat="true">
      <c r="A111" s="189" t="s"/>
      <c r="B111" s="138" t="s"/>
      <c r="C111" s="138" t="s"/>
      <c r="D111" s="190" t="s">
        <v>1007</v>
      </c>
      <c r="E111" s="190" t="s">
        <v>1008</v>
      </c>
      <c r="F111" s="138" t="s">
        <v>258</v>
      </c>
      <c r="G111" s="138" t="s">
        <v>19</v>
      </c>
      <c r="H111" s="138" t="s"/>
      <c r="I111" s="188" t="s">
        <v>138</v>
      </c>
      <c r="J111" s="150" t="s">
        <v>778</v>
      </c>
      <c r="K111" s="138">
        <v>3</v>
      </c>
      <c r="L111" s="138" t="s"/>
      <c r="M111" s="191" t="s"/>
      <c r="N111" s="191" t="s"/>
      <c r="O111" s="191" t="s"/>
      <c r="P111" s="191" t="s"/>
      <c r="Q111" s="191" t="s"/>
      <c r="R111" s="191" t="s"/>
      <c r="S111" s="191" t="s"/>
      <c r="T111" s="191" t="s"/>
      <c r="U111" s="191" t="s"/>
      <c r="V111" s="191" t="s"/>
      <c r="W111" s="191" t="s"/>
      <c r="X111" s="191" t="s"/>
      <c r="Y111" s="191" t="s"/>
      <c r="Z111" s="191" t="s"/>
      <c r="AA111" s="191" t="s"/>
    </row>
    <row r="112" spans="1:27" s="478" customFormat="true">
      <c r="A112" s="189" t="s"/>
      <c r="B112" s="138" t="s"/>
      <c r="C112" s="138" t="s"/>
      <c r="D112" s="190" t="s">
        <v>1009</v>
      </c>
      <c r="E112" s="190" t="s">
        <v>1010</v>
      </c>
      <c r="F112" s="138" t="s">
        <v>258</v>
      </c>
      <c r="G112" s="138" t="s">
        <v>19</v>
      </c>
      <c r="H112" s="138" t="s"/>
      <c r="I112" s="188" t="s">
        <v>138</v>
      </c>
      <c r="J112" s="150" t="s">
        <v>778</v>
      </c>
      <c r="K112" s="138">
        <v>3</v>
      </c>
      <c r="L112" s="138" t="s"/>
      <c r="M112" s="191" t="s"/>
      <c r="N112" s="191" t="s"/>
      <c r="O112" s="191" t="s"/>
      <c r="P112" s="191" t="s"/>
      <c r="Q112" s="191" t="s"/>
      <c r="R112" s="191" t="s"/>
      <c r="S112" s="191" t="s"/>
      <c r="T112" s="191" t="s"/>
      <c r="U112" s="191" t="s"/>
      <c r="V112" s="191" t="s"/>
      <c r="W112" s="191" t="s"/>
      <c r="X112" s="191" t="s"/>
      <c r="Y112" s="191" t="s"/>
      <c r="Z112" s="191" t="s"/>
      <c r="AA112" s="191" t="s"/>
    </row>
    <row r="113" spans="1:27" s="478" customFormat="true">
      <c r="A113" s="189" t="s"/>
      <c r="B113" s="138" t="s"/>
      <c r="C113" s="138" t="s"/>
      <c r="D113" s="190" t="s">
        <v>1011</v>
      </c>
      <c r="E113" s="190" t="s">
        <v>1012</v>
      </c>
      <c r="F113" s="138" t="s">
        <v>258</v>
      </c>
      <c r="G113" s="138" t="s">
        <v>19</v>
      </c>
      <c r="H113" s="138" t="s"/>
      <c r="I113" s="188" t="s">
        <v>138</v>
      </c>
      <c r="J113" s="150" t="s">
        <v>778</v>
      </c>
      <c r="K113" s="138">
        <v>3</v>
      </c>
      <c r="L113" s="138" t="s"/>
      <c r="M113" s="191" t="s"/>
      <c r="N113" s="191" t="s"/>
      <c r="O113" s="191" t="s"/>
      <c r="P113" s="191" t="s"/>
      <c r="Q113" s="191" t="s"/>
      <c r="R113" s="191" t="s"/>
      <c r="S113" s="191" t="s"/>
      <c r="T113" s="191" t="s"/>
      <c r="U113" s="191" t="s"/>
      <c r="V113" s="191" t="s"/>
      <c r="W113" s="191" t="s"/>
      <c r="X113" s="191" t="s"/>
      <c r="Y113" s="191" t="s"/>
      <c r="Z113" s="191" t="s"/>
      <c r="AA113" s="191" t="s"/>
    </row>
    <row r="114" spans="1:27" s="478" customFormat="true">
      <c r="A114" s="189" t="s"/>
      <c r="B114" s="138" t="s"/>
      <c r="C114" s="138" t="s"/>
      <c r="D114" s="190" t="s">
        <v>1013</v>
      </c>
      <c r="E114" s="190" t="s">
        <v>1014</v>
      </c>
      <c r="F114" s="138" t="s">
        <v>258</v>
      </c>
      <c r="G114" s="138" t="s">
        <v>19</v>
      </c>
      <c r="H114" s="138" t="s"/>
      <c r="I114" s="188" t="s">
        <v>138</v>
      </c>
      <c r="J114" s="150" t="s">
        <v>778</v>
      </c>
      <c r="K114" s="138">
        <v>3</v>
      </c>
      <c r="L114" s="138" t="s"/>
      <c r="M114" s="191" t="s"/>
      <c r="N114" s="191" t="s"/>
      <c r="O114" s="191" t="s"/>
      <c r="P114" s="191" t="s"/>
      <c r="Q114" s="191" t="s"/>
      <c r="R114" s="191" t="s"/>
      <c r="S114" s="191" t="s"/>
      <c r="T114" s="191" t="s"/>
      <c r="U114" s="191" t="s"/>
      <c r="V114" s="191" t="s"/>
      <c r="W114" s="191" t="s"/>
      <c r="X114" s="191" t="s"/>
      <c r="Y114" s="191" t="s"/>
      <c r="Z114" s="191" t="s"/>
      <c r="AA114" s="191" t="s"/>
    </row>
    <row r="115" spans="1:27" s="478" customFormat="true">
      <c r="A115" s="189" t="s"/>
      <c r="B115" s="138" t="s"/>
      <c r="C115" s="138" t="s"/>
      <c r="D115" s="190" t="s">
        <v>1015</v>
      </c>
      <c r="E115" s="190" t="s">
        <v>1016</v>
      </c>
      <c r="F115" s="138" t="s">
        <v>258</v>
      </c>
      <c r="G115" s="138" t="s">
        <v>19</v>
      </c>
      <c r="H115" s="138" t="s"/>
      <c r="I115" s="188" t="s">
        <v>138</v>
      </c>
      <c r="J115" s="150" t="s">
        <v>778</v>
      </c>
      <c r="K115" s="138">
        <v>3</v>
      </c>
      <c r="L115" s="138" t="s"/>
      <c r="M115" s="191" t="s"/>
      <c r="N115" s="191" t="s"/>
      <c r="O115" s="191" t="s"/>
      <c r="P115" s="191" t="s"/>
      <c r="Q115" s="191" t="s"/>
      <c r="R115" s="191" t="s"/>
      <c r="S115" s="191" t="s"/>
      <c r="T115" s="191" t="s"/>
      <c r="U115" s="191" t="s"/>
      <c r="V115" s="191" t="s"/>
      <c r="W115" s="191" t="s"/>
      <c r="X115" s="191" t="s"/>
      <c r="Y115" s="191" t="s"/>
      <c r="Z115" s="191" t="s"/>
      <c r="AA115" s="191" t="s"/>
    </row>
    <row r="116" spans="1:27" s="478" customFormat="true">
      <c r="A116" s="189" t="s"/>
      <c r="B116" s="138" t="s"/>
      <c r="C116" s="138" t="s"/>
      <c r="D116" s="190" t="s">
        <v>1017</v>
      </c>
      <c r="E116" s="190" t="s">
        <v>1018</v>
      </c>
      <c r="F116" s="138" t="s">
        <v>258</v>
      </c>
      <c r="G116" s="138" t="s">
        <v>19</v>
      </c>
      <c r="H116" s="138" t="s"/>
      <c r="I116" s="188" t="s">
        <v>138</v>
      </c>
      <c r="J116" s="150" t="s">
        <v>778</v>
      </c>
      <c r="K116" s="138">
        <v>3</v>
      </c>
      <c r="L116" s="138" t="s"/>
      <c r="M116" s="191" t="s"/>
      <c r="N116" s="191" t="s"/>
      <c r="O116" s="191" t="s"/>
      <c r="P116" s="191" t="s"/>
      <c r="Q116" s="191" t="s"/>
      <c r="R116" s="191" t="s"/>
      <c r="S116" s="191" t="s"/>
      <c r="T116" s="191" t="s"/>
      <c r="U116" s="191" t="s"/>
      <c r="V116" s="191" t="s"/>
      <c r="W116" s="191" t="s"/>
      <c r="X116" s="191" t="s"/>
      <c r="Y116" s="191" t="s"/>
      <c r="Z116" s="191" t="s"/>
      <c r="AA116" s="191" t="s"/>
    </row>
    <row r="117" spans="1:27" s="478" customFormat="true">
      <c r="A117" s="189" t="s"/>
      <c r="B117" s="138" t="s"/>
      <c r="C117" s="138" t="s"/>
      <c r="D117" s="190" t="s">
        <v>1019</v>
      </c>
      <c r="E117" s="190" t="s">
        <v>1020</v>
      </c>
      <c r="F117" s="138" t="s">
        <v>258</v>
      </c>
      <c r="G117" s="138" t="s">
        <v>19</v>
      </c>
      <c r="H117" s="138" t="s"/>
      <c r="I117" s="188" t="s">
        <v>138</v>
      </c>
      <c r="J117" s="150" t="s">
        <v>778</v>
      </c>
      <c r="K117" s="138">
        <v>3</v>
      </c>
      <c r="L117" s="138" t="s"/>
      <c r="M117" s="191" t="s"/>
      <c r="N117" s="191" t="s"/>
      <c r="O117" s="191" t="s"/>
      <c r="P117" s="191" t="s"/>
      <c r="Q117" s="191" t="s"/>
      <c r="R117" s="191" t="s"/>
      <c r="S117" s="191" t="s"/>
      <c r="T117" s="191" t="s"/>
      <c r="U117" s="191" t="s"/>
      <c r="V117" s="191" t="s"/>
      <c r="W117" s="191" t="s"/>
      <c r="X117" s="191" t="s"/>
      <c r="Y117" s="191" t="s"/>
      <c r="Z117" s="191" t="s"/>
      <c r="AA117" s="191" t="s"/>
    </row>
    <row r="118" spans="1:27" s="478" customFormat="true">
      <c r="A118" s="186" t="s"/>
      <c r="B118" s="150" t="s"/>
      <c r="C118" s="150" t="s"/>
      <c r="D118" s="187" t="s">
        <v>1021</v>
      </c>
      <c r="E118" s="190" t="s">
        <v>1022</v>
      </c>
      <c r="F118" s="138" t="s">
        <v>258</v>
      </c>
      <c r="G118" s="150" t="s">
        <v>19</v>
      </c>
      <c r="H118" s="150" t="s"/>
      <c r="I118" s="188" t="s">
        <v>138</v>
      </c>
      <c r="J118" s="150" t="s">
        <v>778</v>
      </c>
      <c r="K118" s="150">
        <v>3</v>
      </c>
      <c r="L118" s="150" t="s"/>
      <c r="M118" s="152" t="s"/>
      <c r="N118" s="152" t="s"/>
      <c r="O118" s="152" t="s"/>
      <c r="P118" s="152" t="s"/>
      <c r="Q118" s="152" t="s"/>
      <c r="R118" s="152" t="s"/>
      <c r="S118" s="152" t="s"/>
      <c r="T118" s="152" t="s"/>
      <c r="U118" s="152" t="s"/>
      <c r="V118" s="152" t="s"/>
      <c r="W118" s="152" t="s"/>
      <c r="X118" s="152" t="s"/>
      <c r="Y118" s="152" t="s"/>
      <c r="Z118" s="152" t="s"/>
      <c r="AA118" s="152" t="s"/>
    </row>
    <row r="119" spans="1:27" s="478" customFormat="true">
      <c r="A119" s="186" t="s"/>
      <c r="B119" s="150" t="s"/>
      <c r="C119" s="150" t="s"/>
      <c r="D119" s="187" t="s">
        <v>1023</v>
      </c>
      <c r="E119" s="187" t="s">
        <v>1024</v>
      </c>
      <c r="F119" s="150" t="s">
        <v>258</v>
      </c>
      <c r="G119" s="150" t="s">
        <v>19</v>
      </c>
      <c r="H119" s="150" t="s"/>
      <c r="I119" s="146" t="s">
        <v>138</v>
      </c>
      <c r="J119" s="150" t="s">
        <v>778</v>
      </c>
      <c r="K119" s="150">
        <v>3</v>
      </c>
      <c r="L119" s="150" t="s"/>
      <c r="M119" s="152" t="s"/>
      <c r="N119" s="152" t="s"/>
      <c r="O119" s="152" t="s"/>
      <c r="P119" s="152" t="s"/>
      <c r="Q119" s="152" t="s"/>
      <c r="R119" s="152" t="s"/>
      <c r="S119" s="152" t="s"/>
      <c r="T119" s="152" t="s"/>
      <c r="U119" s="152" t="s"/>
      <c r="V119" s="152" t="s"/>
      <c r="W119" s="152" t="s"/>
      <c r="X119" s="152" t="s"/>
      <c r="Y119" s="152" t="s"/>
      <c r="Z119" s="152" t="s"/>
      <c r="AA119" s="152" t="s"/>
    </row>
    <row r="120" spans="1:27" s="478" customFormat="true">
      <c r="A120" s="186" t="s"/>
      <c r="B120" s="150" t="s"/>
      <c r="C120" s="150" t="s"/>
      <c r="D120" s="187" t="s">
        <v>1025</v>
      </c>
      <c r="E120" s="187" t="s">
        <v>1026</v>
      </c>
      <c r="F120" s="150" t="s">
        <v>258</v>
      </c>
      <c r="G120" s="150" t="s">
        <v>19</v>
      </c>
      <c r="H120" s="150" t="s"/>
      <c r="I120" s="146" t="s">
        <v>138</v>
      </c>
      <c r="J120" s="150" t="s">
        <v>778</v>
      </c>
      <c r="K120" s="150">
        <v>3</v>
      </c>
      <c r="L120" s="150" t="s"/>
      <c r="M120" s="152" t="s"/>
      <c r="N120" s="152" t="s"/>
      <c r="O120" s="152" t="s"/>
      <c r="P120" s="152" t="s"/>
      <c r="Q120" s="152" t="s"/>
      <c r="R120" s="152" t="s"/>
      <c r="S120" s="152" t="s"/>
      <c r="T120" s="152" t="s"/>
      <c r="U120" s="152" t="s"/>
      <c r="V120" s="152" t="s"/>
      <c r="W120" s="152" t="s"/>
      <c r="X120" s="152" t="s"/>
      <c r="Y120" s="152" t="s"/>
      <c r="Z120" s="152" t="s"/>
      <c r="AA120" s="152" t="s"/>
    </row>
    <row r="121" spans="1:27" s="478" customFormat="true">
      <c r="A121" s="186" t="s"/>
      <c r="B121" s="150" t="s"/>
      <c r="C121" s="150" t="s"/>
      <c r="D121" s="187" t="s">
        <v>1027</v>
      </c>
      <c r="E121" s="187" t="s">
        <v>1028</v>
      </c>
      <c r="F121" s="150" t="s">
        <v>258</v>
      </c>
      <c r="G121" s="150" t="s">
        <v>19</v>
      </c>
      <c r="H121" s="150" t="s"/>
      <c r="I121" s="146" t="s">
        <v>138</v>
      </c>
      <c r="J121" s="150" t="s">
        <v>778</v>
      </c>
      <c r="K121" s="150">
        <v>3</v>
      </c>
      <c r="L121" s="150" t="s"/>
      <c r="M121" s="152" t="s"/>
      <c r="N121" s="152" t="s"/>
      <c r="O121" s="152" t="s"/>
      <c r="P121" s="152" t="s"/>
      <c r="Q121" s="152" t="s"/>
      <c r="R121" s="152" t="s"/>
      <c r="S121" s="152" t="s"/>
      <c r="T121" s="152" t="s"/>
      <c r="U121" s="152" t="s"/>
      <c r="V121" s="152" t="s"/>
      <c r="W121" s="152" t="s"/>
      <c r="X121" s="152" t="s"/>
      <c r="Y121" s="152" t="s"/>
      <c r="Z121" s="152" t="s"/>
      <c r="AA121" s="152" t="s"/>
    </row>
    <row r="122" spans="1:27" s="478" customFormat="true">
      <c r="A122" s="186" t="s"/>
      <c r="B122" s="150" t="s"/>
      <c r="C122" s="150" t="s"/>
      <c r="D122" s="187" t="s">
        <v>1029</v>
      </c>
      <c r="E122" s="187" t="s">
        <v>1030</v>
      </c>
      <c r="F122" s="150" t="s">
        <v>258</v>
      </c>
      <c r="G122" s="150" t="s">
        <v>19</v>
      </c>
      <c r="H122" s="150" t="s"/>
      <c r="I122" s="146" t="s">
        <v>138</v>
      </c>
      <c r="J122" s="150" t="s">
        <v>778</v>
      </c>
      <c r="K122" s="150">
        <v>3</v>
      </c>
      <c r="L122" s="150" t="s"/>
      <c r="M122" s="152" t="s"/>
      <c r="N122" s="152" t="s"/>
      <c r="O122" s="152" t="s"/>
      <c r="P122" s="152" t="s"/>
      <c r="Q122" s="152" t="s"/>
      <c r="R122" s="152" t="s"/>
      <c r="S122" s="152" t="s"/>
      <c r="T122" s="152" t="s"/>
      <c r="U122" s="152" t="s"/>
      <c r="V122" s="152" t="s"/>
      <c r="W122" s="152" t="s"/>
      <c r="X122" s="152" t="s"/>
      <c r="Y122" s="152" t="s"/>
      <c r="Z122" s="152" t="s"/>
      <c r="AA122" s="152" t="s"/>
    </row>
    <row r="123" spans="1:27" s="478" customFormat="true">
      <c r="A123" s="186" t="s"/>
      <c r="B123" s="150" t="s"/>
      <c r="C123" s="150" t="s"/>
      <c r="D123" s="187" t="s">
        <v>1031</v>
      </c>
      <c r="E123" s="187" t="s">
        <v>1032</v>
      </c>
      <c r="F123" s="150" t="s">
        <v>258</v>
      </c>
      <c r="G123" s="150" t="s">
        <v>19</v>
      </c>
      <c r="H123" s="150" t="s"/>
      <c r="I123" s="146" t="s">
        <v>138</v>
      </c>
      <c r="J123" s="150" t="s">
        <v>778</v>
      </c>
      <c r="K123" s="150">
        <v>3</v>
      </c>
      <c r="L123" s="150" t="s"/>
      <c r="M123" s="152" t="s"/>
      <c r="N123" s="152" t="s"/>
      <c r="O123" s="152" t="s"/>
      <c r="P123" s="152" t="s"/>
      <c r="Q123" s="152" t="s"/>
      <c r="R123" s="152" t="s"/>
      <c r="S123" s="152" t="s"/>
      <c r="T123" s="152" t="s"/>
      <c r="U123" s="152" t="s"/>
      <c r="V123" s="152" t="s"/>
      <c r="W123" s="152" t="s"/>
      <c r="X123" s="152" t="s"/>
      <c r="Y123" s="152" t="s"/>
      <c r="Z123" s="152" t="s"/>
      <c r="AA123" s="152" t="s"/>
    </row>
    <row r="124" spans="1:27" s="478" customFormat="true">
      <c r="A124" s="189" t="s"/>
      <c r="B124" s="138" t="s"/>
      <c r="C124" s="138" t="s"/>
      <c r="D124" s="190" t="s">
        <v>1033</v>
      </c>
      <c r="E124" s="190" t="s">
        <v>1034</v>
      </c>
      <c r="F124" s="138" t="s">
        <v>258</v>
      </c>
      <c r="G124" s="138" t="s">
        <v>19</v>
      </c>
      <c r="H124" s="138" t="s"/>
      <c r="I124" s="188" t="s">
        <v>138</v>
      </c>
      <c r="J124" s="150" t="s">
        <v>778</v>
      </c>
      <c r="K124" s="138">
        <v>3</v>
      </c>
      <c r="L124" s="138" t="s"/>
      <c r="M124" s="191" t="s"/>
      <c r="N124" s="191" t="s"/>
      <c r="O124" s="191" t="s"/>
      <c r="P124" s="191" t="s"/>
      <c r="Q124" s="191" t="s"/>
      <c r="R124" s="191" t="s"/>
      <c r="S124" s="191" t="s"/>
      <c r="T124" s="191" t="s"/>
      <c r="U124" s="191" t="s"/>
      <c r="V124" s="191" t="s"/>
      <c r="W124" s="191" t="s"/>
      <c r="X124" s="191" t="s"/>
      <c r="Y124" s="191" t="s"/>
      <c r="Z124" s="191" t="s"/>
      <c r="AA124" s="191" t="s"/>
    </row>
    <row r="125" spans="1:27" s="478" customFormat="true">
      <c r="A125" s="189" t="s"/>
      <c r="B125" s="138" t="s"/>
      <c r="C125" s="138" t="s"/>
      <c r="D125" s="190" t="s">
        <v>1035</v>
      </c>
      <c r="E125" s="190" t="s">
        <v>1036</v>
      </c>
      <c r="F125" s="138" t="s">
        <v>258</v>
      </c>
      <c r="G125" s="138" t="s">
        <v>19</v>
      </c>
      <c r="H125" s="138" t="s"/>
      <c r="I125" s="188" t="s">
        <v>138</v>
      </c>
      <c r="J125" s="150" t="s">
        <v>778</v>
      </c>
      <c r="K125" s="138">
        <v>3</v>
      </c>
      <c r="L125" s="138" t="s"/>
      <c r="M125" s="191" t="s"/>
      <c r="N125" s="191" t="s"/>
      <c r="O125" s="191" t="s"/>
      <c r="P125" s="191" t="s"/>
      <c r="Q125" s="191" t="s"/>
      <c r="R125" s="191" t="s"/>
      <c r="S125" s="191" t="s"/>
      <c r="T125" s="191" t="s"/>
      <c r="U125" s="191" t="s"/>
      <c r="V125" s="191" t="s"/>
      <c r="W125" s="191" t="s"/>
      <c r="X125" s="191" t="s"/>
      <c r="Y125" s="191" t="s"/>
      <c r="Z125" s="191" t="s"/>
      <c r="AA125" s="191" t="s"/>
    </row>
    <row r="126" spans="1:27" s="478" customFormat="true">
      <c r="A126" s="189" t="s"/>
      <c r="B126" s="138" t="s"/>
      <c r="C126" s="138" t="s"/>
      <c r="D126" s="190" t="s">
        <v>1037</v>
      </c>
      <c r="E126" s="190" t="s">
        <v>1038</v>
      </c>
      <c r="F126" s="138" t="s">
        <v>258</v>
      </c>
      <c r="G126" s="138" t="s">
        <v>19</v>
      </c>
      <c r="H126" s="138" t="s"/>
      <c r="I126" s="188" t="s">
        <v>138</v>
      </c>
      <c r="J126" s="150" t="s">
        <v>778</v>
      </c>
      <c r="K126" s="138">
        <v>3</v>
      </c>
      <c r="L126" s="138" t="s"/>
      <c r="M126" s="191" t="s"/>
      <c r="N126" s="191" t="s"/>
      <c r="O126" s="191" t="s"/>
      <c r="P126" s="191" t="s"/>
      <c r="Q126" s="191" t="s"/>
      <c r="R126" s="191" t="s"/>
      <c r="S126" s="191" t="s"/>
      <c r="T126" s="191" t="s"/>
      <c r="U126" s="191" t="s"/>
      <c r="V126" s="191" t="s"/>
      <c r="W126" s="191" t="s"/>
      <c r="X126" s="191" t="s"/>
      <c r="Y126" s="191" t="s"/>
      <c r="Z126" s="191" t="s"/>
      <c r="AA126" s="191" t="s"/>
    </row>
    <row r="127" spans="1:27" s="478" customFormat="true">
      <c r="A127" s="189" t="s"/>
      <c r="B127" s="138" t="s"/>
      <c r="C127" s="138" t="s"/>
      <c r="D127" s="190" t="s">
        <v>1039</v>
      </c>
      <c r="E127" s="190" t="s">
        <v>1040</v>
      </c>
      <c r="F127" s="138" t="s">
        <v>258</v>
      </c>
      <c r="G127" s="138" t="s">
        <v>19</v>
      </c>
      <c r="H127" s="138" t="s"/>
      <c r="I127" s="188" t="s">
        <v>138</v>
      </c>
      <c r="J127" s="150" t="s">
        <v>778</v>
      </c>
      <c r="K127" s="138">
        <v>3</v>
      </c>
      <c r="L127" s="138" t="s"/>
      <c r="M127" s="191" t="s"/>
      <c r="N127" s="191" t="s"/>
      <c r="O127" s="191" t="s"/>
      <c r="P127" s="191" t="s"/>
      <c r="Q127" s="191" t="s"/>
      <c r="R127" s="191" t="s"/>
      <c r="S127" s="191" t="s"/>
      <c r="T127" s="191" t="s"/>
      <c r="U127" s="191" t="s"/>
      <c r="V127" s="191" t="s"/>
      <c r="W127" s="191" t="s"/>
      <c r="X127" s="191" t="s"/>
      <c r="Y127" s="191" t="s"/>
      <c r="Z127" s="191" t="s"/>
      <c r="AA127" s="191" t="s"/>
    </row>
    <row r="128" spans="1:27" s="478" customFormat="true">
      <c r="A128" s="189" t="s"/>
      <c r="B128" s="138" t="s"/>
      <c r="C128" s="138" t="s"/>
      <c r="D128" s="190" t="s">
        <v>1041</v>
      </c>
      <c r="E128" s="190" t="s">
        <v>1042</v>
      </c>
      <c r="F128" s="138" t="s">
        <v>258</v>
      </c>
      <c r="G128" s="138" t="s">
        <v>19</v>
      </c>
      <c r="H128" s="138" t="s"/>
      <c r="I128" s="188" t="s">
        <v>138</v>
      </c>
      <c r="J128" s="150" t="s">
        <v>778</v>
      </c>
      <c r="K128" s="138">
        <v>3</v>
      </c>
      <c r="L128" s="138" t="s"/>
      <c r="M128" s="191" t="s"/>
      <c r="N128" s="191" t="s"/>
      <c r="O128" s="191" t="s"/>
      <c r="P128" s="191" t="s"/>
      <c r="Q128" s="191" t="s"/>
      <c r="R128" s="191" t="s"/>
      <c r="S128" s="191" t="s"/>
      <c r="T128" s="191" t="s"/>
      <c r="U128" s="191" t="s"/>
      <c r="V128" s="191" t="s"/>
      <c r="W128" s="191" t="s"/>
      <c r="X128" s="191" t="s"/>
      <c r="Y128" s="191" t="s"/>
      <c r="Z128" s="191" t="s"/>
      <c r="AA128" s="191" t="s"/>
    </row>
    <row r="129" spans="1:27" s="478" customFormat="true">
      <c r="A129" s="186" t="s"/>
      <c r="B129" s="150" t="s"/>
      <c r="C129" s="150" t="s"/>
      <c r="D129" s="190" t="s">
        <v>1043</v>
      </c>
      <c r="E129" s="190" t="s">
        <v>1044</v>
      </c>
      <c r="F129" s="138" t="s">
        <v>258</v>
      </c>
      <c r="G129" s="138" t="s">
        <v>19</v>
      </c>
      <c r="H129" s="150" t="s"/>
      <c r="I129" s="188" t="s">
        <v>138</v>
      </c>
      <c r="J129" s="150" t="s">
        <v>778</v>
      </c>
      <c r="K129" s="138">
        <v>3</v>
      </c>
      <c r="L129" s="150" t="s"/>
      <c r="M129" s="152" t="s"/>
      <c r="N129" s="152" t="s"/>
      <c r="O129" s="152" t="s"/>
      <c r="P129" s="152" t="s"/>
      <c r="Q129" s="152" t="s"/>
      <c r="R129" s="152" t="s"/>
      <c r="S129" s="152" t="s"/>
      <c r="T129" s="152" t="s"/>
      <c r="U129" s="152" t="s"/>
      <c r="V129" s="152" t="s"/>
      <c r="W129" s="152" t="s"/>
      <c r="X129" s="152" t="s"/>
      <c r="Y129" s="152" t="s"/>
      <c r="Z129" s="152" t="s"/>
      <c r="AA129" s="152" t="s"/>
    </row>
    <row r="130" spans="1:27" s="478" customFormat="true">
      <c r="A130" s="186" t="s"/>
      <c r="B130" s="150" t="s"/>
      <c r="C130" s="150" t="s"/>
      <c r="D130" s="192" t="s">
        <v>1045</v>
      </c>
      <c r="E130" s="192" t="s">
        <v>1046</v>
      </c>
      <c r="F130" s="150" t="s">
        <v>258</v>
      </c>
      <c r="G130" s="150" t="s">
        <v>19</v>
      </c>
      <c r="H130" s="150" t="s"/>
      <c r="I130" s="146" t="s">
        <v>138</v>
      </c>
      <c r="J130" s="150" t="s">
        <v>778</v>
      </c>
      <c r="K130" s="150">
        <v>3</v>
      </c>
      <c r="L130" s="150" t="s">
        <v>1047</v>
      </c>
      <c r="M130" s="152" t="s"/>
      <c r="N130" s="152" t="s"/>
      <c r="O130" s="152" t="s"/>
      <c r="P130" s="152" t="s"/>
      <c r="Q130" s="152" t="s"/>
      <c r="R130" s="152" t="s"/>
      <c r="S130" s="152" t="s"/>
      <c r="T130" s="152" t="s"/>
      <c r="U130" s="152" t="s"/>
      <c r="V130" s="152" t="s"/>
      <c r="W130" s="152" t="s"/>
      <c r="X130" s="152" t="s"/>
      <c r="Y130" s="152" t="s"/>
      <c r="Z130" s="152" t="s"/>
      <c r="AA130" s="152" t="s"/>
    </row>
    <row r="131" spans="1:27" s="478" customFormat="true">
      <c r="A131" s="189" t="s"/>
      <c r="B131" s="138" t="s"/>
      <c r="C131" s="138" t="s"/>
      <c r="D131" s="193" t="s">
        <v>1048</v>
      </c>
      <c r="E131" s="193" t="s">
        <v>1049</v>
      </c>
      <c r="F131" s="138" t="s">
        <v>99</v>
      </c>
      <c r="G131" s="138" t="s">
        <v>19</v>
      </c>
      <c r="H131" s="138" t="s"/>
      <c r="I131" s="188" t="s">
        <v>138</v>
      </c>
      <c r="J131" s="150" t="s">
        <v>778</v>
      </c>
      <c r="K131" s="138">
        <v>3</v>
      </c>
      <c r="L131" s="138" t="s">
        <v>1050</v>
      </c>
      <c r="M131" s="191" t="s"/>
      <c r="N131" s="191" t="s"/>
      <c r="O131" s="191" t="s"/>
      <c r="P131" s="191" t="s"/>
      <c r="Q131" s="191" t="s"/>
      <c r="R131" s="191" t="s"/>
      <c r="S131" s="191" t="s"/>
      <c r="T131" s="191" t="s"/>
      <c r="U131" s="191" t="s"/>
      <c r="V131" s="191" t="s"/>
      <c r="W131" s="191" t="s"/>
      <c r="X131" s="191" t="s"/>
      <c r="Y131" s="191" t="s"/>
      <c r="Z131" s="191" t="s"/>
      <c r="AA131" s="191" t="s"/>
    </row>
    <row r="132" spans="1:27" s="478" customFormat="true">
      <c r="A132" s="189" t="s"/>
      <c r="B132" s="138" t="s"/>
      <c r="C132" s="138" t="s"/>
      <c r="D132" s="194" t="s">
        <v>1051</v>
      </c>
      <c r="E132" s="193" t="s">
        <v>1052</v>
      </c>
      <c r="F132" s="188" t="s">
        <v>12</v>
      </c>
      <c r="G132" s="188" t="s">
        <v>19</v>
      </c>
      <c r="H132" s="138" t="s"/>
      <c r="I132" s="188" t="s">
        <v>138</v>
      </c>
      <c r="J132" s="150" t="s">
        <v>778</v>
      </c>
      <c r="K132" s="138">
        <v>3</v>
      </c>
      <c r="L132" s="138" t="s">
        <v>1053</v>
      </c>
      <c r="M132" s="191" t="s"/>
      <c r="N132" s="191" t="s"/>
      <c r="O132" s="191" t="s"/>
      <c r="P132" s="191" t="s"/>
      <c r="Q132" s="191" t="s"/>
      <c r="R132" s="191" t="s"/>
      <c r="S132" s="191" t="s"/>
      <c r="T132" s="191" t="s"/>
      <c r="U132" s="191" t="s"/>
      <c r="V132" s="191" t="s"/>
      <c r="W132" s="191" t="s"/>
      <c r="X132" s="191" t="s"/>
      <c r="Y132" s="191" t="s"/>
      <c r="Z132" s="191" t="s"/>
      <c r="AA132" s="191" t="s"/>
    </row>
    <row r="133" spans="1:27"/>
    <row r="134" spans="1:27"/>
    <row r="135" spans="1:27"/>
    <row r="136" spans="1:27"/>
    <row r="137" spans="1:27"/>
    <row r="138" spans="1:27"/>
    <row r="139" spans="1:27"/>
    <row r="140" spans="1:27"/>
    <row r="141" spans="1:27"/>
    <row r="142" spans="1:27"/>
    <row r="143" spans="1:27"/>
    <row r="144" spans="1:27"/>
    <row r="145" spans="1:27"/>
    <row r="146" spans="1:27"/>
    <row r="147" spans="1:27"/>
    <row r="148" spans="1:27"/>
    <row r="149" spans="1:27"/>
    <row r="150" spans="1:27"/>
    <row r="151" spans="1:27"/>
    <row r="152" spans="4:4">
      <c r="D152" s="90" t="s"/>
    </row>
  </sheetData>
  <autoFilter ref="B1:L132">
    <sortState ref="B2:L132"/>
  </autoFilter>
</worksheet>
</file>

<file path=xl/worksheets/sheet14.xml><?xml version="1.0" encoding="utf-8"?>
<worksheet xmlns="http://schemas.openxmlformats.org/spreadsheetml/2006/main">
  <sheetPr codeName="lot">
    <tabColor rgb="FFFFFFFF"/>
  </sheetPr>
  <dimension ref="L69"/>
  <sheetViews>
    <sheetView showGridLines="true" workbookViewId="0"/>
  </sheetViews>
  <sheetFormatPr baseColWidth="13" defaultRowHeight="18" customHeight="true"/>
  <cols>
    <col min="1" max="4" width="13.6211" style="31" customWidth="true"/>
    <col min="5" max="5" width="25.2227" style="31" customWidth="true"/>
    <col min="6" max="6" width="26.3008" style="31" customWidth="true"/>
    <col min="7" max="8" width="13.6211" style="31" hidden="true" customWidth="true"/>
    <col min="9" max="9" width="34.2617" style="31" hidden="true" customWidth="true"/>
    <col min="10" max="10" width="27.7812" style="31" hidden="true" customWidth="true"/>
    <col min="11" max="11" width="13.6211" style="31" hidden="true" customWidth="true"/>
    <col min="12" max="12" width="49.6328" style="31" customWidth="true"/>
    <col min="13" max="14" width="13.6211" style="31" customWidth="true"/>
    <col min="15" max="26" width="13.6719" style="13"/>
  </cols>
  <sheetData>
    <row r="1" spans="1:14">
      <c r="A1" s="195" t="s">
        <v>1</v>
      </c>
      <c r="B1" s="195" t="s">
        <v>2</v>
      </c>
      <c r="C1" s="195" t="s">
        <v>3</v>
      </c>
      <c r="D1" s="196" t="s"/>
      <c r="E1" s="195" t="s">
        <v>4</v>
      </c>
      <c r="F1" s="195" t="s">
        <v>5</v>
      </c>
      <c r="G1" s="195" t="s">
        <v>6</v>
      </c>
      <c r="H1" s="195" t="s">
        <v>7</v>
      </c>
      <c r="I1" s="195" t="s">
        <v>9</v>
      </c>
      <c r="J1" s="195" t="s">
        <v>1054</v>
      </c>
      <c r="K1" s="195" t="s">
        <v>1055</v>
      </c>
      <c r="L1" s="195" t="s">
        <v>204</v>
      </c>
      <c r="M1" s="195" t="s">
        <v>1056</v>
      </c>
      <c r="N1" s="195" t="s">
        <v>1057</v>
      </c>
    </row>
    <row r="2" spans="1:14">
      <c r="A2" s="86" t="s"/>
      <c r="B2" s="86" t="s"/>
      <c r="C2" s="86" t="s"/>
      <c r="D2" s="86" t="s"/>
      <c r="E2" s="47" t="s">
        <v>1058</v>
      </c>
      <c r="F2" s="47" t="s">
        <v>1059</v>
      </c>
      <c r="G2" s="47" t="s">
        <v>12</v>
      </c>
      <c r="H2" s="47" t="s">
        <v>13</v>
      </c>
      <c r="I2" s="47" t="s">
        <v>279</v>
      </c>
      <c r="J2" s="48" t="s">
        <v>1060</v>
      </c>
      <c r="K2" s="86" t="s"/>
      <c r="L2" s="47" t="s">
        <v>1061</v>
      </c>
      <c r="M2" s="86" t="s"/>
      <c r="N2" s="86" t="s"/>
    </row>
    <row r="3" spans="1:26" s="470" customFormat="true">
      <c r="A3" s="197" t="s"/>
      <c r="B3" s="197" t="s"/>
      <c r="C3" s="197" t="s"/>
      <c r="D3" s="197" t="s"/>
      <c r="E3" s="198" t="s">
        <v>1062</v>
      </c>
      <c r="F3" s="198" t="s">
        <v>279</v>
      </c>
      <c r="G3" s="198" t="s">
        <v>1063</v>
      </c>
      <c r="H3" s="198" t="s">
        <v>13</v>
      </c>
      <c r="I3" s="197" t="s"/>
      <c r="J3" s="199" t="s">
        <v>1060</v>
      </c>
      <c r="K3" s="197" t="s"/>
      <c r="L3" s="198" t="s">
        <v>1064</v>
      </c>
      <c r="M3" s="197" t="s"/>
      <c r="N3" s="197" t="s"/>
      <c r="O3" s="200" t="s"/>
      <c r="P3" s="200" t="s"/>
      <c r="Q3" s="200" t="s"/>
      <c r="R3" s="200" t="s"/>
      <c r="S3" s="200" t="s"/>
      <c r="T3" s="200" t="s"/>
      <c r="U3" s="200" t="s"/>
      <c r="V3" s="200" t="s"/>
      <c r="W3" s="200" t="s"/>
      <c r="X3" s="200" t="s"/>
      <c r="Y3" s="200" t="s"/>
      <c r="Z3" s="200" t="s"/>
    </row>
    <row r="4" spans="1:14">
      <c r="A4" s="86" t="s"/>
      <c r="B4" s="86" t="s"/>
      <c r="C4" s="86" t="s"/>
      <c r="D4" s="86" t="s"/>
      <c r="E4" s="47" t="s">
        <v>1065</v>
      </c>
      <c r="F4" s="47" t="s">
        <v>397</v>
      </c>
      <c r="G4" s="47" t="s">
        <v>1063</v>
      </c>
      <c r="H4" s="47" t="s">
        <v>13</v>
      </c>
      <c r="I4" s="86" t="s"/>
      <c r="J4" s="48" t="s">
        <v>1060</v>
      </c>
      <c r="K4" s="86" t="s"/>
      <c r="L4" s="47" t="s">
        <v>1066</v>
      </c>
      <c r="M4" s="86" t="s"/>
      <c r="N4" s="86" t="s"/>
    </row>
    <row r="5" spans="1:14">
      <c r="A5" s="86" t="s"/>
      <c r="B5" s="86" t="s"/>
      <c r="C5" s="86" t="s"/>
      <c r="D5" s="86" t="s"/>
      <c r="E5" s="47" t="s">
        <v>1067</v>
      </c>
      <c r="F5" s="47" t="s">
        <v>29</v>
      </c>
      <c r="G5" s="47" t="s">
        <v>1063</v>
      </c>
      <c r="H5" s="47" t="s">
        <v>13</v>
      </c>
      <c r="I5" s="86" t="s"/>
      <c r="J5" s="48" t="s">
        <v>1060</v>
      </c>
      <c r="K5" s="86" t="s"/>
      <c r="L5" s="47" t="s">
        <v>1068</v>
      </c>
      <c r="M5" s="86" t="s"/>
      <c r="N5" s="86" t="s"/>
    </row>
    <row r="6" spans="1:14">
      <c r="A6" s="86" t="s"/>
      <c r="B6" s="86" t="s"/>
      <c r="C6" s="86" t="s"/>
      <c r="D6" s="86" t="s"/>
      <c r="E6" s="47" t="s">
        <v>1069</v>
      </c>
      <c r="F6" s="47" t="s">
        <v>1070</v>
      </c>
      <c r="G6" s="47" t="s">
        <v>1063</v>
      </c>
      <c r="H6" s="47" t="s">
        <v>13</v>
      </c>
      <c r="I6" s="86" t="s"/>
      <c r="J6" s="48" t="s">
        <v>1060</v>
      </c>
      <c r="K6" s="86" t="s"/>
      <c r="L6" s="47" t="s">
        <v>1068</v>
      </c>
      <c r="M6" s="86" t="s"/>
      <c r="N6" s="86" t="s"/>
    </row>
    <row r="7" spans="1:14">
      <c r="A7" s="86" t="s"/>
      <c r="B7" s="86" t="s"/>
      <c r="C7" s="86" t="s"/>
      <c r="D7" s="86" t="s"/>
      <c r="E7" s="47" t="s">
        <v>1071</v>
      </c>
      <c r="F7" s="47" t="s">
        <v>1072</v>
      </c>
      <c r="G7" s="47" t="s">
        <v>1063</v>
      </c>
      <c r="H7" s="47" t="s">
        <v>13</v>
      </c>
      <c r="I7" s="86" t="s"/>
      <c r="J7" s="48" t="s">
        <v>1060</v>
      </c>
      <c r="K7" s="86" t="s"/>
      <c r="L7" s="47" t="s">
        <v>1068</v>
      </c>
      <c r="M7" s="86" t="s"/>
      <c r="N7" s="86" t="s"/>
    </row>
    <row r="8" spans="1:14">
      <c r="A8" s="86" t="s"/>
      <c r="B8" s="86" t="s"/>
      <c r="C8" s="86" t="s"/>
      <c r="D8" s="86" t="s"/>
      <c r="E8" s="47" t="s">
        <v>1073</v>
      </c>
      <c r="F8" s="47" t="s">
        <v>1074</v>
      </c>
      <c r="G8" s="47" t="s">
        <v>1063</v>
      </c>
      <c r="H8" s="47" t="s">
        <v>13</v>
      </c>
      <c r="I8" s="86" t="s"/>
      <c r="J8" s="48" t="s">
        <v>1060</v>
      </c>
      <c r="K8" s="86" t="s"/>
      <c r="L8" s="47" t="s">
        <v>1068</v>
      </c>
      <c r="M8" s="86" t="s"/>
      <c r="N8" s="86" t="s"/>
    </row>
    <row r="9" spans="1:14">
      <c r="A9" s="86" t="s"/>
      <c r="B9" s="86" t="s"/>
      <c r="C9" s="86" t="s"/>
      <c r="D9" s="86" t="s"/>
      <c r="E9" s="47" t="s">
        <v>1075</v>
      </c>
      <c r="F9" s="47" t="s">
        <v>1076</v>
      </c>
      <c r="G9" s="47" t="s">
        <v>1077</v>
      </c>
      <c r="H9" s="47" t="s">
        <v>13</v>
      </c>
      <c r="I9" s="47" t="s">
        <v>1078</v>
      </c>
      <c r="J9" s="48" t="s">
        <v>1060</v>
      </c>
      <c r="K9" s="86" t="s"/>
      <c r="L9" s="47" t="s">
        <v>1068</v>
      </c>
      <c r="M9" s="86" t="s"/>
      <c r="N9" s="86" t="s"/>
    </row>
    <row r="10" spans="1:26" s="470" customFormat="true">
      <c r="A10" s="197" t="s"/>
      <c r="B10" s="197" t="s"/>
      <c r="C10" s="197" t="s"/>
      <c r="D10" s="197" t="s"/>
      <c r="E10" s="198" t="s">
        <v>1079</v>
      </c>
      <c r="F10" s="198" t="s">
        <v>39</v>
      </c>
      <c r="G10" s="198" t="s">
        <v>1063</v>
      </c>
      <c r="H10" s="198" t="s">
        <v>13</v>
      </c>
      <c r="I10" s="197" t="s"/>
      <c r="J10" s="199" t="s">
        <v>1060</v>
      </c>
      <c r="K10" s="197" t="s"/>
      <c r="L10" s="198" t="s">
        <v>1080</v>
      </c>
      <c r="M10" s="197" t="s"/>
      <c r="N10" s="197" t="s"/>
      <c r="O10" s="200" t="s"/>
      <c r="P10" s="200" t="s"/>
      <c r="Q10" s="200" t="s"/>
      <c r="R10" s="200" t="s"/>
      <c r="S10" s="200" t="s"/>
      <c r="T10" s="200" t="s"/>
      <c r="U10" s="200" t="s"/>
      <c r="V10" s="200" t="s"/>
      <c r="W10" s="200" t="s"/>
      <c r="X10" s="200" t="s"/>
      <c r="Y10" s="200" t="s"/>
      <c r="Z10" s="200" t="s"/>
    </row>
    <row r="11" spans="1:14">
      <c r="A11" s="86" t="s"/>
      <c r="B11" s="86" t="s"/>
      <c r="C11" s="86" t="s"/>
      <c r="D11" s="86" t="s"/>
      <c r="E11" s="47" t="s">
        <v>1081</v>
      </c>
      <c r="F11" s="47" t="s">
        <v>1082</v>
      </c>
      <c r="G11" s="47" t="s">
        <v>1063</v>
      </c>
      <c r="H11" s="47" t="s">
        <v>13</v>
      </c>
      <c r="I11" s="86" t="s"/>
      <c r="J11" s="48" t="s">
        <v>1060</v>
      </c>
      <c r="K11" s="86" t="s"/>
      <c r="L11" s="47" t="s">
        <v>1066</v>
      </c>
      <c r="M11" s="86" t="s"/>
      <c r="N11" s="86" t="s"/>
    </row>
    <row r="12" spans="1:14">
      <c r="A12" s="86" t="s"/>
      <c r="B12" s="86" t="s"/>
      <c r="C12" s="86" t="s"/>
      <c r="D12" s="86" t="s"/>
      <c r="E12" s="47" t="s">
        <v>1083</v>
      </c>
      <c r="F12" s="47" t="s">
        <v>1084</v>
      </c>
      <c r="G12" s="47" t="s">
        <v>1063</v>
      </c>
      <c r="H12" s="47" t="s">
        <v>13</v>
      </c>
      <c r="I12" s="86" t="s"/>
      <c r="J12" s="48" t="s">
        <v>1060</v>
      </c>
      <c r="K12" s="86" t="s"/>
      <c r="L12" s="47" t="s">
        <v>1068</v>
      </c>
      <c r="M12" s="86" t="s"/>
      <c r="N12" s="86" t="s"/>
    </row>
    <row r="13" spans="1:14">
      <c r="A13" s="86" t="s"/>
      <c r="B13" s="86" t="s"/>
      <c r="C13" s="86" t="s"/>
      <c r="D13" s="86" t="s"/>
      <c r="E13" s="47" t="s">
        <v>284</v>
      </c>
      <c r="F13" s="47" t="s">
        <v>285</v>
      </c>
      <c r="G13" s="47" t="s">
        <v>1063</v>
      </c>
      <c r="H13" s="47" t="s">
        <v>13</v>
      </c>
      <c r="I13" s="86" t="s"/>
      <c r="J13" s="48" t="s">
        <v>1060</v>
      </c>
      <c r="K13" s="86" t="s"/>
      <c r="L13" s="47" t="s">
        <v>1085</v>
      </c>
      <c r="M13" s="86" t="s"/>
      <c r="N13" s="86" t="s"/>
    </row>
    <row r="14" spans="1:14">
      <c r="A14" s="86" t="s"/>
      <c r="B14" s="86" t="s"/>
      <c r="C14" s="86" t="s"/>
      <c r="D14" s="86" t="s"/>
      <c r="E14" s="47" t="s">
        <v>1086</v>
      </c>
      <c r="F14" s="47" t="s">
        <v>410</v>
      </c>
      <c r="G14" s="47" t="s">
        <v>1063</v>
      </c>
      <c r="H14" s="47" t="s">
        <v>13</v>
      </c>
      <c r="I14" s="86" t="s"/>
      <c r="J14" s="48" t="s">
        <v>1060</v>
      </c>
      <c r="K14" s="86" t="s"/>
      <c r="L14" s="47" t="s">
        <v>1066</v>
      </c>
      <c r="M14" s="86" t="s"/>
      <c r="N14" s="86" t="s"/>
    </row>
    <row r="15" spans="1:14">
      <c r="A15" s="86" t="s"/>
      <c r="B15" s="86" t="s"/>
      <c r="C15" s="86" t="s"/>
      <c r="D15" s="86" t="s"/>
      <c r="E15" s="47" t="s">
        <v>309</v>
      </c>
      <c r="F15" s="47" t="s">
        <v>310</v>
      </c>
      <c r="G15" s="47" t="s">
        <v>1063</v>
      </c>
      <c r="H15" s="47" t="s">
        <v>13</v>
      </c>
      <c r="I15" s="86" t="s"/>
      <c r="J15" s="48" t="s">
        <v>1060</v>
      </c>
      <c r="K15" s="86" t="s"/>
      <c r="L15" s="47" t="s">
        <v>1085</v>
      </c>
      <c r="M15" s="86" t="s"/>
      <c r="N15" s="86" t="s"/>
    </row>
    <row r="16" spans="1:14">
      <c r="A16" s="86" t="s"/>
      <c r="B16" s="86" t="s"/>
      <c r="C16" s="86" t="s"/>
      <c r="D16" s="86" t="s"/>
      <c r="E16" s="47" t="s">
        <v>314</v>
      </c>
      <c r="F16" s="47" t="s">
        <v>315</v>
      </c>
      <c r="G16" s="90" t="s">
        <v>1063</v>
      </c>
      <c r="H16" s="47" t="s">
        <v>13</v>
      </c>
      <c r="I16" s="86" t="s"/>
      <c r="J16" s="48" t="s">
        <v>1060</v>
      </c>
      <c r="K16" s="86" t="s"/>
      <c r="L16" s="47" t="s">
        <v>1085</v>
      </c>
      <c r="M16" s="86" t="s"/>
      <c r="N16" s="86" t="s"/>
    </row>
    <row r="17" spans="1:26" s="290" customFormat="true">
      <c r="A17" s="86" t="s"/>
      <c r="B17" s="86" t="s"/>
      <c r="C17" s="86" t="s"/>
      <c r="D17" s="86" t="s"/>
      <c r="E17" s="201" t="s">
        <v>1087</v>
      </c>
      <c r="F17" s="202" t="s">
        <v>1088</v>
      </c>
      <c r="G17" s="203" t="s">
        <v>1089</v>
      </c>
      <c r="H17" s="204" t="s">
        <v>13</v>
      </c>
      <c r="I17" s="86" t="s"/>
      <c r="J17" s="48" t="s">
        <v>1060</v>
      </c>
      <c r="K17" s="86" t="s"/>
      <c r="L17" s="47" t="s">
        <v>1066</v>
      </c>
      <c r="M17" s="86" t="s"/>
      <c r="N17" s="86" t="s"/>
      <c r="O17" s="31" t="s"/>
      <c r="P17" s="31" t="s"/>
      <c r="Q17" s="31" t="s"/>
      <c r="R17" s="31" t="s"/>
      <c r="S17" s="31" t="s"/>
      <c r="T17" s="31" t="s"/>
      <c r="U17" s="31" t="s"/>
      <c r="V17" s="31" t="s"/>
      <c r="W17" s="31" t="s"/>
      <c r="X17" s="31" t="s"/>
      <c r="Y17" s="31" t="s"/>
      <c r="Z17" s="31" t="s"/>
    </row>
    <row r="18" spans="1:14">
      <c r="A18" s="86" t="s"/>
      <c r="B18" s="86" t="s"/>
      <c r="C18" s="86" t="s"/>
      <c r="D18" s="86" t="s"/>
      <c r="E18" s="203" t="s">
        <v>323</v>
      </c>
      <c r="F18" s="204" t="s">
        <v>324</v>
      </c>
      <c r="G18" s="203" t="s">
        <v>12</v>
      </c>
      <c r="H18" s="204" t="s">
        <v>13</v>
      </c>
      <c r="I18" s="86" t="s">
        <v>1090</v>
      </c>
      <c r="J18" s="48" t="s">
        <v>1060</v>
      </c>
      <c r="K18" s="86" t="s"/>
      <c r="L18" s="47" t="s">
        <v>1061</v>
      </c>
      <c r="M18" s="86" t="s"/>
      <c r="N18" s="86" t="s"/>
    </row>
    <row r="19" spans="1:14">
      <c r="A19" s="205" t="s"/>
      <c r="B19" s="205" t="s"/>
      <c r="C19" s="205" t="s"/>
      <c r="D19" s="205" t="s"/>
      <c r="E19" s="206" t="s"/>
      <c r="F19" s="206" t="s"/>
      <c r="G19" s="206" t="s"/>
      <c r="H19" s="206" t="s"/>
      <c r="I19" s="205" t="s"/>
      <c r="J19" s="205" t="s"/>
      <c r="K19" s="205" t="s"/>
      <c r="L19" s="206" t="s"/>
      <c r="M19" s="205" t="s"/>
      <c r="N19" s="205" t="s"/>
    </row>
    <row r="20" spans="1:26" s="470" customFormat="true">
      <c r="A20" s="197" t="s"/>
      <c r="B20" s="197" t="s"/>
      <c r="C20" s="197" t="s"/>
      <c r="D20" s="197" t="s"/>
      <c r="E20" s="207" t="s">
        <v>1058</v>
      </c>
      <c r="F20" s="207" t="s">
        <v>1059</v>
      </c>
      <c r="G20" s="207" t="s">
        <v>12</v>
      </c>
      <c r="H20" s="207" t="s">
        <v>19</v>
      </c>
      <c r="I20" s="197" t="s"/>
      <c r="J20" s="208" t="s">
        <v>1091</v>
      </c>
      <c r="K20" s="197" t="s"/>
      <c r="L20" s="198" t="s">
        <v>1092</v>
      </c>
      <c r="M20" s="197" t="s"/>
      <c r="N20" s="197" t="s"/>
      <c r="O20" s="200" t="s"/>
      <c r="P20" s="200" t="s"/>
      <c r="Q20" s="200" t="s"/>
      <c r="R20" s="200" t="s"/>
      <c r="S20" s="200" t="s"/>
      <c r="T20" s="200" t="s"/>
      <c r="U20" s="200" t="s"/>
      <c r="V20" s="200" t="s"/>
      <c r="W20" s="200" t="s"/>
      <c r="X20" s="200" t="s"/>
      <c r="Y20" s="200" t="s"/>
      <c r="Z20" s="200" t="s"/>
    </row>
    <row r="21" spans="1:14">
      <c r="A21" s="86" t="s"/>
      <c r="B21" s="86" t="s"/>
      <c r="C21" s="86" t="s"/>
      <c r="D21" s="205" t="s"/>
      <c r="E21" s="206" t="s">
        <v>22</v>
      </c>
      <c r="F21" s="206" t="s">
        <v>23</v>
      </c>
      <c r="G21" s="206" t="s">
        <v>24</v>
      </c>
      <c r="H21" s="206" t="s">
        <v>19</v>
      </c>
      <c r="I21" s="205" t="s"/>
      <c r="J21" s="209" t="s">
        <v>1091</v>
      </c>
      <c r="K21" s="86" t="s"/>
      <c r="L21" s="47" t="s">
        <v>1061</v>
      </c>
      <c r="M21" s="86" t="s"/>
      <c r="N21" s="86" t="s"/>
    </row>
    <row r="22" spans="1:26" s="470" customFormat="true">
      <c r="A22" s="197" t="s"/>
      <c r="B22" s="197" t="s"/>
      <c r="C22" s="197" t="s"/>
      <c r="D22" s="197" t="s"/>
      <c r="E22" s="210" t="s">
        <v>1093</v>
      </c>
      <c r="F22" s="207" t="s">
        <v>1094</v>
      </c>
      <c r="G22" s="207" t="s">
        <v>1063</v>
      </c>
      <c r="H22" s="207" t="s">
        <v>19</v>
      </c>
      <c r="I22" s="197" t="s"/>
      <c r="J22" s="208" t="s">
        <v>1091</v>
      </c>
      <c r="K22" s="197" t="s"/>
      <c r="L22" s="198" t="s">
        <v>1095</v>
      </c>
      <c r="M22" s="197" t="s"/>
      <c r="N22" s="197" t="s"/>
      <c r="O22" s="200" t="s"/>
      <c r="P22" s="200" t="s"/>
      <c r="Q22" s="200" t="s"/>
      <c r="R22" s="200" t="s"/>
      <c r="S22" s="200" t="s"/>
      <c r="T22" s="200" t="s"/>
      <c r="U22" s="200" t="s"/>
      <c r="V22" s="200" t="s"/>
      <c r="W22" s="200" t="s"/>
      <c r="X22" s="200" t="s"/>
      <c r="Y22" s="200" t="s"/>
      <c r="Z22" s="200" t="s"/>
    </row>
    <row r="23" spans="1:26" s="479" customFormat="true">
      <c r="A23" s="211" t="s"/>
      <c r="B23" s="211" t="s"/>
      <c r="C23" s="211" t="s"/>
      <c r="D23" s="212" t="s"/>
      <c r="E23" s="213" t="s">
        <v>1096</v>
      </c>
      <c r="F23" s="214" t="s">
        <v>1097</v>
      </c>
      <c r="G23" s="215" t="s"/>
      <c r="H23" s="215" t="s"/>
      <c r="I23" s="212" t="s"/>
      <c r="J23" s="216" t="s"/>
      <c r="K23" s="211" t="s"/>
      <c r="L23" s="215" t="s">
        <v>1098</v>
      </c>
      <c r="M23" s="211" t="s"/>
      <c r="N23" s="211" t="s"/>
      <c r="O23" s="217" t="s"/>
      <c r="P23" s="217" t="s"/>
      <c r="Q23" s="217" t="s"/>
      <c r="R23" s="217" t="s"/>
      <c r="S23" s="217" t="s"/>
      <c r="T23" s="217" t="s"/>
      <c r="U23" s="217" t="s"/>
      <c r="V23" s="217" t="s"/>
      <c r="W23" s="217" t="s"/>
      <c r="X23" s="217" t="s"/>
      <c r="Y23" s="217" t="s"/>
      <c r="Z23" s="217" t="s"/>
    </row>
    <row r="24" spans="1:14">
      <c r="A24" s="86" t="s"/>
      <c r="B24" s="86" t="s"/>
      <c r="C24" s="86" t="s"/>
      <c r="D24" s="205" t="s"/>
      <c r="E24" s="206" t="s">
        <v>1099</v>
      </c>
      <c r="F24" s="206" t="s">
        <v>1100</v>
      </c>
      <c r="G24" s="206" t="s">
        <v>1063</v>
      </c>
      <c r="H24" s="206" t="s">
        <v>19</v>
      </c>
      <c r="I24" s="205" t="s"/>
      <c r="J24" s="209" t="s">
        <v>1091</v>
      </c>
      <c r="K24" s="86" t="s"/>
      <c r="L24" s="206" t="s">
        <v>1066</v>
      </c>
      <c r="M24" s="86" t="s"/>
      <c r="N24" s="86" t="s"/>
    </row>
    <row r="25" spans="1:14">
      <c r="A25" s="86" t="s"/>
      <c r="B25" s="86" t="s"/>
      <c r="C25" s="86" t="s"/>
      <c r="D25" s="218" t="s">
        <v>1101</v>
      </c>
      <c r="E25" s="206" t="s">
        <v>1102</v>
      </c>
      <c r="F25" s="206" t="s">
        <v>1103</v>
      </c>
      <c r="G25" s="206" t="s">
        <v>1063</v>
      </c>
      <c r="H25" s="206" t="s">
        <v>19</v>
      </c>
      <c r="I25" s="205" t="s"/>
      <c r="J25" s="209" t="s">
        <v>1091</v>
      </c>
      <c r="K25" s="47" t="s"/>
      <c r="L25" s="47" t="s">
        <v>1068</v>
      </c>
      <c r="M25" s="86" t="s"/>
      <c r="N25" s="86" t="s"/>
    </row>
    <row r="26" spans="1:14">
      <c r="A26" s="86" t="s"/>
      <c r="B26" s="86" t="s"/>
      <c r="C26" s="86" t="s"/>
      <c r="D26" s="218" t="s">
        <v>1101</v>
      </c>
      <c r="E26" s="206" t="s">
        <v>1104</v>
      </c>
      <c r="F26" s="206" t="s">
        <v>1105</v>
      </c>
      <c r="G26" s="206" t="s">
        <v>1063</v>
      </c>
      <c r="H26" s="206" t="s">
        <v>19</v>
      </c>
      <c r="I26" s="205" t="s"/>
      <c r="J26" s="209" t="s">
        <v>1091</v>
      </c>
      <c r="K26" s="218" t="s"/>
      <c r="L26" s="206" t="s">
        <v>1068</v>
      </c>
      <c r="M26" s="86" t="s"/>
      <c r="N26" s="86" t="s"/>
    </row>
    <row r="27" spans="1:26" s="200" customFormat="true">
      <c r="A27" s="197" t="s"/>
      <c r="B27" s="197" t="s"/>
      <c r="C27" s="197" t="s"/>
      <c r="D27" s="219" t="s">
        <v>1101</v>
      </c>
      <c r="E27" s="220" t="s">
        <v>1106</v>
      </c>
      <c r="F27" s="220" t="s">
        <v>1107</v>
      </c>
      <c r="G27" s="220" t="s">
        <v>1063</v>
      </c>
      <c r="H27" s="220" t="s">
        <v>19</v>
      </c>
      <c r="I27" s="221" t="s"/>
      <c r="J27" s="222" t="s">
        <v>1091</v>
      </c>
      <c r="K27" s="223" t="s"/>
      <c r="L27" s="224" t="s">
        <v>1080</v>
      </c>
      <c r="M27" s="197" t="s"/>
      <c r="N27" s="197" t="s"/>
      <c r="O27" s="200" t="s"/>
      <c r="P27" s="200" t="s"/>
      <c r="Q27" s="200" t="s"/>
      <c r="R27" s="200" t="s"/>
      <c r="S27" s="200" t="s"/>
      <c r="T27" s="200" t="s"/>
      <c r="U27" s="200" t="s"/>
      <c r="V27" s="200" t="s"/>
      <c r="W27" s="200" t="s"/>
      <c r="X27" s="200" t="s"/>
      <c r="Y27" s="200" t="s"/>
      <c r="Z27" s="200" t="s"/>
    </row>
    <row r="28" spans="1:14">
      <c r="A28" s="86" t="s"/>
      <c r="B28" s="86" t="s"/>
      <c r="C28" s="86" t="s"/>
      <c r="D28" s="218" t="s"/>
      <c r="E28" s="206" t="s">
        <v>1108</v>
      </c>
      <c r="F28" s="206" t="s">
        <v>1109</v>
      </c>
      <c r="G28" s="206" t="s">
        <v>1063</v>
      </c>
      <c r="H28" s="206" t="s">
        <v>19</v>
      </c>
      <c r="I28" s="205" t="s"/>
      <c r="J28" s="209" t="s">
        <v>1091</v>
      </c>
      <c r="K28" s="86" t="s"/>
      <c r="L28" s="47" t="s">
        <v>1066</v>
      </c>
      <c r="M28" s="86" t="s"/>
      <c r="N28" s="86" t="s"/>
    </row>
    <row r="29" spans="1:14">
      <c r="A29" s="86" t="s"/>
      <c r="B29" s="86" t="s"/>
      <c r="C29" s="86" t="s"/>
      <c r="D29" s="218" t="s"/>
      <c r="E29" s="206" t="s">
        <v>1110</v>
      </c>
      <c r="F29" s="206" t="s">
        <v>1111</v>
      </c>
      <c r="G29" s="206" t="s">
        <v>1063</v>
      </c>
      <c r="H29" s="206" t="s">
        <v>19</v>
      </c>
      <c r="I29" s="205" t="s"/>
      <c r="J29" s="209" t="s">
        <v>1091</v>
      </c>
      <c r="K29" s="86" t="s"/>
      <c r="L29" s="47" t="s">
        <v>1066</v>
      </c>
      <c r="M29" s="86" t="s"/>
      <c r="N29" s="86" t="s"/>
    </row>
    <row r="30" spans="1:26" s="470" customFormat="true">
      <c r="A30" s="197" t="s"/>
      <c r="B30" s="197" t="s"/>
      <c r="C30" s="197" t="s"/>
      <c r="D30" s="225" t="s"/>
      <c r="E30" s="226" t="s">
        <v>1112</v>
      </c>
      <c r="F30" s="226" t="s">
        <v>1113</v>
      </c>
      <c r="G30" s="226" t="s">
        <v>1063</v>
      </c>
      <c r="H30" s="226" t="s">
        <v>19</v>
      </c>
      <c r="I30" s="227" t="s"/>
      <c r="J30" s="228" t="s">
        <v>1091</v>
      </c>
      <c r="K30" s="197" t="s"/>
      <c r="L30" s="198" t="s">
        <v>1114</v>
      </c>
      <c r="M30" s="197" t="s"/>
      <c r="N30" s="197" t="s"/>
      <c r="O30" s="200" t="s"/>
      <c r="P30" s="200" t="s"/>
      <c r="Q30" s="200" t="s"/>
      <c r="R30" s="200" t="s"/>
      <c r="S30" s="200" t="s"/>
      <c r="T30" s="200" t="s"/>
      <c r="U30" s="200" t="s"/>
      <c r="V30" s="200" t="s"/>
      <c r="W30" s="200" t="s"/>
      <c r="X30" s="200" t="s"/>
      <c r="Y30" s="200" t="s"/>
      <c r="Z30" s="200" t="s"/>
    </row>
    <row r="31" spans="1:14">
      <c r="A31" s="86" t="s"/>
      <c r="B31" s="86" t="s"/>
      <c r="C31" s="86" t="s"/>
      <c r="D31" s="218" t="s"/>
      <c r="E31" s="206" t="s">
        <v>1115</v>
      </c>
      <c r="F31" s="206" t="s">
        <v>1116</v>
      </c>
      <c r="G31" s="206" t="s">
        <v>1063</v>
      </c>
      <c r="H31" s="206" t="s">
        <v>19</v>
      </c>
      <c r="I31" s="205" t="s"/>
      <c r="J31" s="209" t="s">
        <v>1091</v>
      </c>
      <c r="K31" s="86" t="s"/>
      <c r="L31" s="47" t="s">
        <v>1066</v>
      </c>
      <c r="M31" s="86" t="s"/>
      <c r="N31" s="86" t="s"/>
    </row>
    <row r="32" spans="1:14">
      <c r="A32" s="86" t="s"/>
      <c r="B32" s="86" t="s"/>
      <c r="C32" s="86" t="s"/>
      <c r="D32" s="218" t="s"/>
      <c r="E32" s="206" t="s">
        <v>1117</v>
      </c>
      <c r="F32" s="229" t="s">
        <v>1118</v>
      </c>
      <c r="G32" s="206" t="s">
        <v>1063</v>
      </c>
      <c r="H32" s="206" t="s">
        <v>19</v>
      </c>
      <c r="I32" s="205" t="s"/>
      <c r="J32" s="209" t="s">
        <v>1091</v>
      </c>
      <c r="K32" s="86" t="s"/>
      <c r="L32" s="47" t="s">
        <v>1066</v>
      </c>
      <c r="M32" s="86" t="s"/>
      <c r="N32" s="86" t="s"/>
    </row>
    <row r="33" spans="1:26" s="470" customFormat="true">
      <c r="A33" s="197" t="s"/>
      <c r="B33" s="197" t="s"/>
      <c r="C33" s="197" t="s"/>
      <c r="D33" s="225" t="s"/>
      <c r="E33" s="226" t="s">
        <v>1119</v>
      </c>
      <c r="F33" s="230" t="s">
        <v>1120</v>
      </c>
      <c r="G33" s="226" t="s">
        <v>1063</v>
      </c>
      <c r="H33" s="226" t="s">
        <v>19</v>
      </c>
      <c r="I33" s="227" t="s"/>
      <c r="J33" s="228" t="s">
        <v>1091</v>
      </c>
      <c r="K33" s="197" t="s"/>
      <c r="L33" s="198" t="s">
        <v>1114</v>
      </c>
      <c r="M33" s="197" t="s"/>
      <c r="N33" s="197" t="s"/>
      <c r="O33" s="200" t="s"/>
      <c r="P33" s="200" t="s"/>
      <c r="Q33" s="200" t="s"/>
      <c r="R33" s="200" t="s"/>
      <c r="S33" s="200" t="s"/>
      <c r="T33" s="200" t="s"/>
      <c r="U33" s="200" t="s"/>
      <c r="V33" s="200" t="s"/>
      <c r="W33" s="200" t="s"/>
      <c r="X33" s="200" t="s"/>
      <c r="Y33" s="200" t="s"/>
      <c r="Z33" s="200" t="s"/>
    </row>
    <row r="34" spans="1:14">
      <c r="A34" s="86" t="s"/>
      <c r="B34" s="86" t="s"/>
      <c r="C34" s="86" t="s"/>
      <c r="D34" s="218" t="s"/>
      <c r="E34" s="206" t="s">
        <v>1121</v>
      </c>
      <c r="F34" s="229" t="s">
        <v>1122</v>
      </c>
      <c r="G34" s="206" t="s">
        <v>1063</v>
      </c>
      <c r="H34" s="206" t="s">
        <v>19</v>
      </c>
      <c r="I34" s="205" t="s"/>
      <c r="J34" s="209" t="s">
        <v>1091</v>
      </c>
      <c r="K34" s="86" t="s"/>
      <c r="L34" s="47" t="s">
        <v>1066</v>
      </c>
      <c r="M34" s="86" t="s"/>
      <c r="N34" s="86" t="s"/>
    </row>
    <row r="35" spans="1:26" s="290" customFormat="true">
      <c r="A35" s="86" t="s"/>
      <c r="B35" s="86" t="s"/>
      <c r="C35" s="86" t="s"/>
      <c r="D35" s="218" t="s"/>
      <c r="E35" s="206" t="s">
        <v>1123</v>
      </c>
      <c r="F35" s="206" t="s">
        <v>1124</v>
      </c>
      <c r="G35" s="206" t="s">
        <v>1063</v>
      </c>
      <c r="H35" s="206" t="s">
        <v>19</v>
      </c>
      <c r="I35" s="205" t="s"/>
      <c r="J35" s="209" t="s">
        <v>1091</v>
      </c>
      <c r="K35" s="86" t="s"/>
      <c r="L35" s="47" t="s">
        <v>1066</v>
      </c>
      <c r="M35" s="86" t="s"/>
      <c r="N35" s="86" t="s"/>
      <c r="O35" s="31" t="s"/>
      <c r="P35" s="31" t="s"/>
      <c r="Q35" s="31" t="s"/>
      <c r="R35" s="31" t="s"/>
      <c r="S35" s="31" t="s"/>
      <c r="T35" s="31" t="s"/>
      <c r="U35" s="31" t="s"/>
      <c r="V35" s="31" t="s"/>
      <c r="W35" s="31" t="s"/>
      <c r="X35" s="31" t="s"/>
      <c r="Y35" s="31" t="s"/>
      <c r="Z35" s="31" t="s"/>
    </row>
    <row r="36" spans="1:26" s="470" customFormat="true">
      <c r="A36" s="197" t="s"/>
      <c r="B36" s="197" t="s"/>
      <c r="C36" s="197" t="s"/>
      <c r="D36" s="225" t="s">
        <v>1101</v>
      </c>
      <c r="E36" s="226" t="s">
        <v>1125</v>
      </c>
      <c r="F36" s="226" t="s">
        <v>1126</v>
      </c>
      <c r="G36" s="226" t="s">
        <v>1127</v>
      </c>
      <c r="H36" s="226" t="s">
        <v>19</v>
      </c>
      <c r="I36" s="225" t="s">
        <v>1128</v>
      </c>
      <c r="J36" s="228" t="s">
        <v>1091</v>
      </c>
      <c r="K36" s="197" t="s"/>
      <c r="L36" s="198" t="s">
        <v>1129</v>
      </c>
      <c r="M36" s="197" t="s"/>
      <c r="N36" s="197" t="s"/>
      <c r="O36" s="200" t="s"/>
      <c r="P36" s="200" t="s"/>
      <c r="Q36" s="200" t="s"/>
      <c r="R36" s="200" t="s"/>
      <c r="S36" s="200" t="s"/>
      <c r="T36" s="200" t="s"/>
      <c r="U36" s="200" t="s"/>
      <c r="V36" s="200" t="s"/>
      <c r="W36" s="200" t="s"/>
      <c r="X36" s="200" t="s"/>
      <c r="Y36" s="200" t="s"/>
      <c r="Z36" s="200" t="s"/>
    </row>
    <row r="37" spans="1:14">
      <c r="A37" s="86" t="s"/>
      <c r="B37" s="86" t="s"/>
      <c r="C37" s="86" t="s"/>
      <c r="D37" s="218" t="s">
        <v>1101</v>
      </c>
      <c r="E37" s="206" t="s">
        <v>1130</v>
      </c>
      <c r="F37" s="206" t="s">
        <v>1131</v>
      </c>
      <c r="G37" s="206" t="s">
        <v>1063</v>
      </c>
      <c r="H37" s="206" t="s">
        <v>19</v>
      </c>
      <c r="I37" s="205" t="s"/>
      <c r="J37" s="209" t="s">
        <v>1091</v>
      </c>
      <c r="K37" s="86" t="s"/>
      <c r="L37" s="47" t="s">
        <v>1132</v>
      </c>
      <c r="M37" s="86" t="s"/>
      <c r="N37" s="86" t="s"/>
    </row>
    <row r="38" spans="1:26" s="470" customFormat="true">
      <c r="A38" s="197" t="s"/>
      <c r="B38" s="197" t="s"/>
      <c r="C38" s="197" t="s"/>
      <c r="D38" s="225" t="s">
        <v>1101</v>
      </c>
      <c r="E38" s="226" t="s">
        <v>1133</v>
      </c>
      <c r="F38" s="226" t="s">
        <v>1134</v>
      </c>
      <c r="G38" s="226" t="s">
        <v>1063</v>
      </c>
      <c r="H38" s="226" t="s">
        <v>19</v>
      </c>
      <c r="I38" s="227" t="s"/>
      <c r="J38" s="228" t="s">
        <v>1091</v>
      </c>
      <c r="K38" s="197" t="s"/>
      <c r="L38" s="198" t="s">
        <v>1080</v>
      </c>
      <c r="M38" s="197" t="s"/>
      <c r="N38" s="197" t="s"/>
      <c r="O38" s="200" t="s"/>
      <c r="P38" s="200" t="s"/>
      <c r="Q38" s="200" t="s"/>
      <c r="R38" s="200" t="s"/>
      <c r="S38" s="200" t="s"/>
      <c r="T38" s="200" t="s"/>
      <c r="U38" s="200" t="s"/>
      <c r="V38" s="200" t="s"/>
      <c r="W38" s="200" t="s"/>
      <c r="X38" s="200" t="s"/>
      <c r="Y38" s="200" t="s"/>
      <c r="Z38" s="200" t="s"/>
    </row>
    <row r="39" spans="1:14">
      <c r="A39" s="86" t="s"/>
      <c r="B39" s="86" t="s"/>
      <c r="C39" s="86" t="s"/>
      <c r="D39" s="218" t="s">
        <v>1101</v>
      </c>
      <c r="E39" s="206" t="s">
        <v>1135</v>
      </c>
      <c r="F39" s="206" t="s">
        <v>1136</v>
      </c>
      <c r="G39" s="206" t="s">
        <v>1063</v>
      </c>
      <c r="H39" s="206" t="s">
        <v>19</v>
      </c>
      <c r="I39" s="205" t="s"/>
      <c r="J39" s="209" t="s">
        <v>1091</v>
      </c>
      <c r="K39" s="86" t="s"/>
      <c r="L39" s="47" t="s">
        <v>1068</v>
      </c>
      <c r="M39" s="86" t="s"/>
      <c r="N39" s="86" t="s"/>
    </row>
    <row r="40" spans="1:14">
      <c r="A40" s="86" t="s"/>
      <c r="B40" s="86" t="s"/>
      <c r="C40" s="86" t="s"/>
      <c r="D40" s="218" t="s">
        <v>1101</v>
      </c>
      <c r="E40" s="206" t="s">
        <v>1137</v>
      </c>
      <c r="F40" s="206" t="s">
        <v>1138</v>
      </c>
      <c r="G40" s="206" t="s">
        <v>1063</v>
      </c>
      <c r="H40" s="206" t="s">
        <v>19</v>
      </c>
      <c r="I40" s="205" t="s"/>
      <c r="J40" s="209" t="s">
        <v>1091</v>
      </c>
      <c r="K40" s="86" t="s"/>
      <c r="L40" s="47" t="s">
        <v>1068</v>
      </c>
      <c r="M40" s="86" t="s"/>
      <c r="N40" s="86" t="s"/>
    </row>
    <row r="41" spans="1:26" s="470" customFormat="true">
      <c r="A41" s="197" t="s"/>
      <c r="B41" s="197" t="s"/>
      <c r="C41" s="197" t="s"/>
      <c r="D41" s="225" t="s">
        <v>1139</v>
      </c>
      <c r="E41" s="226" t="s">
        <v>1140</v>
      </c>
      <c r="F41" s="226" t="s">
        <v>1141</v>
      </c>
      <c r="G41" s="226" t="s">
        <v>119</v>
      </c>
      <c r="H41" s="226" t="s">
        <v>19</v>
      </c>
      <c r="I41" s="227" t="s"/>
      <c r="J41" s="228" t="s">
        <v>1091</v>
      </c>
      <c r="K41" s="197" t="s"/>
      <c r="L41" s="198" t="s">
        <v>1064</v>
      </c>
      <c r="M41" s="197" t="s"/>
      <c r="N41" s="197" t="s"/>
      <c r="O41" s="200" t="s"/>
      <c r="P41" s="200" t="s"/>
      <c r="Q41" s="200" t="s"/>
      <c r="R41" s="200" t="s"/>
      <c r="S41" s="200" t="s"/>
      <c r="T41" s="200" t="s"/>
      <c r="U41" s="200" t="s"/>
      <c r="V41" s="200" t="s"/>
      <c r="W41" s="200" t="s"/>
      <c r="X41" s="200" t="s"/>
      <c r="Y41" s="200" t="s"/>
      <c r="Z41" s="200" t="s"/>
    </row>
    <row r="42" spans="1:26" s="470" customFormat="true">
      <c r="A42" s="197" t="s"/>
      <c r="B42" s="197" t="s"/>
      <c r="C42" s="197" t="s"/>
      <c r="D42" s="225" t="s">
        <v>1139</v>
      </c>
      <c r="E42" s="226" t="s">
        <v>1142</v>
      </c>
      <c r="F42" s="226" t="s">
        <v>1143</v>
      </c>
      <c r="G42" s="226" t="s">
        <v>1144</v>
      </c>
      <c r="H42" s="226" t="s">
        <v>19</v>
      </c>
      <c r="I42" s="227" t="s"/>
      <c r="J42" s="228" t="s">
        <v>1091</v>
      </c>
      <c r="K42" s="197" t="s"/>
      <c r="L42" s="198" t="s">
        <v>1064</v>
      </c>
      <c r="M42" s="197" t="s"/>
      <c r="N42" s="197" t="s"/>
      <c r="O42" s="200" t="s"/>
      <c r="P42" s="200" t="s"/>
      <c r="Q42" s="200" t="s"/>
      <c r="R42" s="200" t="s"/>
      <c r="S42" s="200" t="s"/>
      <c r="T42" s="200" t="s"/>
      <c r="U42" s="200" t="s"/>
      <c r="V42" s="200" t="s"/>
      <c r="W42" s="200" t="s"/>
      <c r="X42" s="200" t="s"/>
      <c r="Y42" s="200" t="s"/>
      <c r="Z42" s="200" t="s"/>
    </row>
    <row r="43" spans="1:14">
      <c r="A43" s="86" t="s"/>
      <c r="B43" s="86" t="s"/>
      <c r="C43" s="86" t="s"/>
      <c r="D43" s="218" t="s">
        <v>1139</v>
      </c>
      <c r="E43" s="206" t="s">
        <v>1145</v>
      </c>
      <c r="F43" s="206" t="s">
        <v>1146</v>
      </c>
      <c r="G43" s="206" t="s">
        <v>119</v>
      </c>
      <c r="H43" s="206" t="s">
        <v>19</v>
      </c>
      <c r="I43" s="205" t="s"/>
      <c r="J43" s="209" t="s">
        <v>1091</v>
      </c>
      <c r="K43" s="86" t="s"/>
      <c r="L43" s="47" t="s">
        <v>1068</v>
      </c>
      <c r="M43" s="86" t="s"/>
      <c r="N43" s="86" t="s"/>
    </row>
    <row r="44" spans="1:14">
      <c r="A44" s="86" t="s"/>
      <c r="B44" s="86" t="s"/>
      <c r="C44" s="86" t="s"/>
      <c r="D44" s="218" t="s">
        <v>1139</v>
      </c>
      <c r="E44" s="206" t="s">
        <v>1147</v>
      </c>
      <c r="F44" s="206" t="s">
        <v>1148</v>
      </c>
      <c r="G44" s="206" t="s">
        <v>119</v>
      </c>
      <c r="H44" s="206" t="s">
        <v>19</v>
      </c>
      <c r="I44" s="205" t="s"/>
      <c r="J44" s="209" t="s">
        <v>1091</v>
      </c>
      <c r="K44" s="86" t="s"/>
      <c r="L44" s="47" t="s">
        <v>1068</v>
      </c>
      <c r="M44" s="86" t="s"/>
      <c r="N44" s="86" t="s"/>
    </row>
    <row r="45" spans="1:14">
      <c r="A45" s="86" t="s"/>
      <c r="B45" s="86" t="s"/>
      <c r="C45" s="86" t="s"/>
      <c r="D45" s="218" t="s"/>
      <c r="E45" s="206" t="s">
        <v>1149</v>
      </c>
      <c r="F45" s="206" t="s">
        <v>306</v>
      </c>
      <c r="G45" s="206" t="s">
        <v>99</v>
      </c>
      <c r="H45" s="206" t="s">
        <v>19</v>
      </c>
      <c r="I45" s="205" t="s"/>
      <c r="J45" s="209" t="s">
        <v>1091</v>
      </c>
      <c r="K45" s="86" t="s"/>
      <c r="L45" s="47" t="s">
        <v>1066</v>
      </c>
      <c r="M45" s="86" t="s"/>
      <c r="N45" s="86" t="s"/>
    </row>
    <row r="46" spans="1:14">
      <c r="A46" s="86" t="s"/>
      <c r="B46" s="86" t="s"/>
      <c r="C46" s="86" t="s"/>
      <c r="D46" s="218" t="s">
        <v>1101</v>
      </c>
      <c r="E46" s="206" t="s">
        <v>1150</v>
      </c>
      <c r="F46" s="206" t="s">
        <v>1151</v>
      </c>
      <c r="G46" s="206" t="s">
        <v>1063</v>
      </c>
      <c r="H46" s="206" t="s">
        <v>19</v>
      </c>
      <c r="I46" s="205" t="s"/>
      <c r="J46" s="209" t="s">
        <v>1091</v>
      </c>
      <c r="K46" s="86" t="s"/>
      <c r="L46" s="47" t="s">
        <v>1068</v>
      </c>
      <c r="M46" s="86" t="s"/>
      <c r="N46" s="86" t="s"/>
    </row>
    <row r="47" spans="1:14">
      <c r="A47" s="86" t="s"/>
      <c r="B47" s="86" t="s"/>
      <c r="C47" s="86" t="s"/>
      <c r="D47" s="218" t="s">
        <v>1101</v>
      </c>
      <c r="E47" s="206" t="s">
        <v>1152</v>
      </c>
      <c r="F47" s="206" t="s">
        <v>1153</v>
      </c>
      <c r="G47" s="206" t="s">
        <v>1077</v>
      </c>
      <c r="H47" s="206" t="s">
        <v>19</v>
      </c>
      <c r="I47" s="205" t="s"/>
      <c r="J47" s="209" t="s">
        <v>1091</v>
      </c>
      <c r="K47" s="86" t="s"/>
      <c r="L47" s="47" t="s">
        <v>1068</v>
      </c>
      <c r="M47" s="86" t="s"/>
      <c r="N47" s="86" t="s"/>
    </row>
    <row r="48" spans="1:14">
      <c r="A48" s="86" t="s"/>
      <c r="B48" s="86" t="s"/>
      <c r="C48" s="86" t="s"/>
      <c r="D48" s="218" t="s">
        <v>1154</v>
      </c>
      <c r="E48" s="206" t="s">
        <v>1155</v>
      </c>
      <c r="F48" s="206" t="s">
        <v>1156</v>
      </c>
      <c r="G48" s="206" t="s">
        <v>258</v>
      </c>
      <c r="H48" s="206" t="s">
        <v>19</v>
      </c>
      <c r="I48" s="205" t="s"/>
      <c r="J48" s="209" t="s">
        <v>1091</v>
      </c>
      <c r="K48" s="47" t="s"/>
      <c r="L48" s="47" t="s">
        <v>1068</v>
      </c>
      <c r="M48" s="47" t="s">
        <v>1157</v>
      </c>
      <c r="N48" s="86" t="s"/>
    </row>
    <row r="49" spans="1:14">
      <c r="A49" s="86" t="s"/>
      <c r="B49" s="86" t="s"/>
      <c r="C49" s="86" t="s"/>
      <c r="D49" s="218" t="s">
        <v>1154</v>
      </c>
      <c r="E49" s="206" t="s">
        <v>1158</v>
      </c>
      <c r="F49" s="206" t="s">
        <v>1159</v>
      </c>
      <c r="G49" s="206" t="s">
        <v>99</v>
      </c>
      <c r="H49" s="206" t="s">
        <v>19</v>
      </c>
      <c r="I49" s="205" t="s"/>
      <c r="J49" s="209" t="s">
        <v>1091</v>
      </c>
      <c r="K49" s="47" t="s"/>
      <c r="L49" s="47" t="s">
        <v>1068</v>
      </c>
      <c r="M49" s="47" t="s">
        <v>1157</v>
      </c>
      <c r="N49" s="86" t="s"/>
    </row>
    <row r="50" spans="1:14">
      <c r="A50" s="86" t="s"/>
      <c r="B50" s="86" t="s"/>
      <c r="C50" s="86" t="s"/>
      <c r="D50" s="218" t="s">
        <v>1154</v>
      </c>
      <c r="E50" s="206" t="s">
        <v>1160</v>
      </c>
      <c r="F50" s="206" t="s">
        <v>1161</v>
      </c>
      <c r="G50" s="206" t="s">
        <v>1162</v>
      </c>
      <c r="H50" s="206" t="s">
        <v>19</v>
      </c>
      <c r="I50" s="205" t="s"/>
      <c r="J50" s="209" t="s">
        <v>1091</v>
      </c>
      <c r="K50" s="47" t="s"/>
      <c r="L50" s="47" t="s">
        <v>1068</v>
      </c>
      <c r="M50" s="86" t="s"/>
      <c r="N50" s="86" t="s"/>
    </row>
    <row r="51" spans="1:14">
      <c r="A51" s="86" t="s"/>
      <c r="B51" s="86" t="s"/>
      <c r="C51" s="86" t="s"/>
      <c r="D51" s="218" t="s">
        <v>1163</v>
      </c>
      <c r="E51" s="206" t="s">
        <v>1164</v>
      </c>
      <c r="F51" s="206" t="s">
        <v>1165</v>
      </c>
      <c r="G51" s="206" t="s">
        <v>1063</v>
      </c>
      <c r="H51" s="206" t="s">
        <v>19</v>
      </c>
      <c r="I51" s="205" t="s"/>
      <c r="J51" s="209" t="s">
        <v>1091</v>
      </c>
      <c r="K51" s="86" t="s"/>
      <c r="L51" s="47" t="s">
        <v>1068</v>
      </c>
      <c r="M51" s="86" t="s"/>
      <c r="N51" s="86" t="s"/>
    </row>
    <row r="52" spans="1:14">
      <c r="A52" s="86" t="s"/>
      <c r="B52" s="86" t="s"/>
      <c r="C52" s="86" t="s"/>
      <c r="D52" s="218" t="s">
        <v>1163</v>
      </c>
      <c r="E52" s="206" t="s">
        <v>1166</v>
      </c>
      <c r="F52" s="206" t="s">
        <v>1167</v>
      </c>
      <c r="G52" s="206" t="s">
        <v>119</v>
      </c>
      <c r="H52" s="206" t="s">
        <v>19</v>
      </c>
      <c r="I52" s="205" t="s"/>
      <c r="J52" s="209" t="s">
        <v>1091</v>
      </c>
      <c r="K52" s="86" t="s"/>
      <c r="L52" s="47" t="s">
        <v>1068</v>
      </c>
      <c r="M52" s="86" t="s"/>
      <c r="N52" s="86" t="s"/>
    </row>
    <row r="53" spans="1:14">
      <c r="A53" s="86" t="s"/>
      <c r="B53" s="86" t="s"/>
      <c r="C53" s="86" t="s"/>
      <c r="D53" s="218" t="s">
        <v>1163</v>
      </c>
      <c r="E53" s="206" t="s">
        <v>1168</v>
      </c>
      <c r="F53" s="206" t="s">
        <v>1169</v>
      </c>
      <c r="G53" s="206" t="s">
        <v>1077</v>
      </c>
      <c r="H53" s="206" t="s">
        <v>19</v>
      </c>
      <c r="I53" s="205" t="s"/>
      <c r="J53" s="209" t="s">
        <v>1091</v>
      </c>
      <c r="K53" s="86" t="s"/>
      <c r="L53" s="47" t="s">
        <v>1068</v>
      </c>
      <c r="M53" s="86" t="s"/>
      <c r="N53" s="86" t="s"/>
    </row>
    <row r="54" spans="1:14">
      <c r="A54" s="86" t="s"/>
      <c r="B54" s="86" t="s"/>
      <c r="C54" s="86" t="s"/>
      <c r="D54" s="218" t="s">
        <v>1163</v>
      </c>
      <c r="E54" s="206" t="s">
        <v>1170</v>
      </c>
      <c r="F54" s="206" t="s">
        <v>1171</v>
      </c>
      <c r="G54" s="206" t="s">
        <v>119</v>
      </c>
      <c r="H54" s="206" t="s">
        <v>19</v>
      </c>
      <c r="I54" s="205" t="s"/>
      <c r="J54" s="209" t="s">
        <v>1091</v>
      </c>
      <c r="K54" s="86" t="s"/>
      <c r="L54" s="47" t="s">
        <v>1068</v>
      </c>
      <c r="M54" s="86" t="s"/>
      <c r="N54" s="86" t="s"/>
    </row>
    <row r="55" spans="1:14">
      <c r="A55" s="231" t="s"/>
      <c r="B55" s="231" t="s"/>
      <c r="C55" s="231" t="s"/>
      <c r="D55" s="232" t="s">
        <v>1163</v>
      </c>
      <c r="E55" s="229" t="s">
        <v>1172</v>
      </c>
      <c r="F55" s="229" t="s">
        <v>1173</v>
      </c>
      <c r="G55" s="229" t="s">
        <v>1077</v>
      </c>
      <c r="H55" s="229" t="s">
        <v>19</v>
      </c>
      <c r="I55" s="233" t="s"/>
      <c r="J55" s="209" t="s">
        <v>1091</v>
      </c>
      <c r="K55" s="231" t="s"/>
      <c r="L55" s="201" t="s">
        <v>1068</v>
      </c>
      <c r="M55" s="231" t="s"/>
      <c r="N55" s="231" t="s"/>
    </row>
    <row r="56" spans="1:14">
      <c r="A56" s="48" t="s"/>
      <c r="B56" s="48" t="s"/>
      <c r="C56" s="48" t="s"/>
      <c r="D56" s="234" t="s">
        <v>1174</v>
      </c>
      <c r="E56" s="206" t="s">
        <v>1175</v>
      </c>
      <c r="F56" s="235" t="s">
        <v>1176</v>
      </c>
      <c r="G56" s="206" t="s">
        <v>1063</v>
      </c>
      <c r="H56" s="206" t="s">
        <v>19</v>
      </c>
      <c r="I56" s="235" t="s"/>
      <c r="J56" s="209" t="s">
        <v>1091</v>
      </c>
      <c r="K56" s="48" t="s"/>
      <c r="L56" s="48" t="s">
        <v>1066</v>
      </c>
      <c r="M56" s="48" t="s"/>
      <c r="N56" s="48" t="s"/>
    </row>
    <row r="57" spans="1:14">
      <c r="A57" s="48" t="s"/>
      <c r="B57" s="48" t="s"/>
      <c r="C57" s="48" t="s"/>
      <c r="D57" s="234" t="s">
        <v>1174</v>
      </c>
      <c r="E57" s="236" t="s">
        <v>1177</v>
      </c>
      <c r="F57" s="235" t="s">
        <v>1178</v>
      </c>
      <c r="G57" s="206" t="s">
        <v>1063</v>
      </c>
      <c r="H57" s="206" t="s">
        <v>19</v>
      </c>
      <c r="I57" s="235" t="s"/>
      <c r="J57" s="209" t="s">
        <v>1091</v>
      </c>
      <c r="K57" s="48" t="s"/>
      <c r="L57" s="48" t="s">
        <v>1066</v>
      </c>
      <c r="M57" s="48" t="s"/>
      <c r="N57" s="48" t="s"/>
    </row>
    <row r="58" spans="1:14">
      <c r="A58" s="48" t="s"/>
      <c r="B58" s="48" t="s"/>
      <c r="C58" s="48" t="s"/>
      <c r="D58" s="234" t="s">
        <v>1174</v>
      </c>
      <c r="E58" s="206" t="s">
        <v>1179</v>
      </c>
      <c r="F58" s="235" t="s">
        <v>1180</v>
      </c>
      <c r="G58" s="206" t="s">
        <v>1063</v>
      </c>
      <c r="H58" s="206" t="s">
        <v>19</v>
      </c>
      <c r="I58" s="235" t="s"/>
      <c r="J58" s="209" t="s">
        <v>1091</v>
      </c>
      <c r="K58" s="48" t="s"/>
      <c r="L58" s="48" t="s">
        <v>1066</v>
      </c>
      <c r="M58" s="48" t="s"/>
      <c r="N58" s="48" t="s"/>
    </row>
    <row r="59" spans="1:14">
      <c r="A59" s="202" t="s"/>
      <c r="B59" s="202" t="s"/>
      <c r="C59" s="202" t="s"/>
      <c r="D59" s="237" t="s">
        <v>1174</v>
      </c>
      <c r="E59" s="238" t="s">
        <v>1181</v>
      </c>
      <c r="F59" s="238" t="s">
        <v>1182</v>
      </c>
      <c r="G59" s="238" t="s">
        <v>1063</v>
      </c>
      <c r="H59" s="229" t="s">
        <v>19</v>
      </c>
      <c r="I59" s="238" t="s"/>
      <c r="J59" s="239" t="s">
        <v>1091</v>
      </c>
      <c r="K59" s="202" t="s"/>
      <c r="L59" s="202" t="s">
        <v>1066</v>
      </c>
      <c r="M59" s="202" t="s"/>
      <c r="N59" s="202" t="s"/>
    </row>
    <row r="60" spans="1:26" s="474" customFormat="true">
      <c r="A60" s="99" t="s"/>
      <c r="B60" s="99" t="s"/>
      <c r="C60" s="99" t="s"/>
      <c r="D60" s="240" t="s">
        <v>1174</v>
      </c>
      <c r="E60" s="241" t="s">
        <v>1183</v>
      </c>
      <c r="F60" s="241" t="s">
        <v>1184</v>
      </c>
      <c r="G60" s="241" t="s">
        <v>258</v>
      </c>
      <c r="H60" s="242" t="s">
        <v>19</v>
      </c>
      <c r="I60" s="240" t="s"/>
      <c r="J60" s="243" t="s">
        <v>1091</v>
      </c>
      <c r="K60" s="99" t="s"/>
      <c r="L60" s="99" t="s">
        <v>1066</v>
      </c>
      <c r="M60" s="99" t="s"/>
      <c r="N60" s="99" t="s"/>
      <c r="O60" s="97" t="s"/>
      <c r="P60" s="97" t="s"/>
      <c r="Q60" s="97" t="s"/>
      <c r="R60" s="97" t="s"/>
      <c r="S60" s="97" t="s"/>
      <c r="T60" s="97" t="s"/>
      <c r="U60" s="97" t="s"/>
      <c r="V60" s="97" t="s"/>
      <c r="W60" s="97" t="s"/>
      <c r="X60" s="97" t="s"/>
      <c r="Y60" s="97" t="s"/>
      <c r="Z60" s="97" t="s"/>
    </row>
    <row r="61" spans="1:26" s="474" customFormat="true">
      <c r="A61" s="99" t="s"/>
      <c r="B61" s="99" t="s"/>
      <c r="C61" s="99" t="s"/>
      <c r="D61" s="244" t="s">
        <v>1174</v>
      </c>
      <c r="E61" s="241" t="s">
        <v>1185</v>
      </c>
      <c r="F61" s="241" t="s">
        <v>1186</v>
      </c>
      <c r="G61" s="241" t="s">
        <v>258</v>
      </c>
      <c r="H61" s="242" t="s">
        <v>19</v>
      </c>
      <c r="I61" s="240" t="s"/>
      <c r="J61" s="243" t="s">
        <v>1091</v>
      </c>
      <c r="K61" s="99" t="s"/>
      <c r="L61" s="99" t="s">
        <v>1066</v>
      </c>
      <c r="M61" s="99" t="s"/>
      <c r="N61" s="99" t="s"/>
      <c r="O61" s="97" t="s"/>
      <c r="P61" s="97" t="s"/>
      <c r="Q61" s="97" t="s"/>
      <c r="R61" s="97" t="s"/>
      <c r="S61" s="97" t="s"/>
      <c r="T61" s="97" t="s"/>
      <c r="U61" s="97" t="s"/>
      <c r="V61" s="97" t="s"/>
      <c r="W61" s="97" t="s"/>
      <c r="X61" s="97" t="s"/>
      <c r="Y61" s="97" t="s"/>
      <c r="Z61" s="97" t="s"/>
    </row>
    <row r="62" spans="1:26" s="474" customFormat="true">
      <c r="A62" s="99" t="s"/>
      <c r="B62" s="99" t="s"/>
      <c r="C62" s="99" t="s"/>
      <c r="D62" s="244" t="s">
        <v>1174</v>
      </c>
      <c r="E62" s="241" t="s">
        <v>1187</v>
      </c>
      <c r="F62" s="241" t="s">
        <v>1188</v>
      </c>
      <c r="G62" s="241" t="s">
        <v>258</v>
      </c>
      <c r="H62" s="242" t="s">
        <v>19</v>
      </c>
      <c r="I62" s="240" t="s"/>
      <c r="J62" s="243" t="s">
        <v>1091</v>
      </c>
      <c r="K62" s="99" t="s"/>
      <c r="L62" s="99" t="s">
        <v>1066</v>
      </c>
      <c r="M62" s="99" t="s"/>
      <c r="N62" s="99" t="s"/>
      <c r="O62" s="97" t="s"/>
      <c r="P62" s="97" t="s"/>
      <c r="Q62" s="97" t="s"/>
      <c r="R62" s="97" t="s"/>
      <c r="S62" s="97" t="s"/>
      <c r="T62" s="97" t="s"/>
      <c r="U62" s="97" t="s"/>
      <c r="V62" s="97" t="s"/>
      <c r="W62" s="97" t="s"/>
      <c r="X62" s="97" t="s"/>
      <c r="Y62" s="97" t="s"/>
      <c r="Z62" s="97" t="s"/>
    </row>
    <row r="63" spans="1:26" s="474" customFormat="true">
      <c r="A63" s="99" t="s"/>
      <c r="B63" s="99" t="s"/>
      <c r="C63" s="99" t="s"/>
      <c r="D63" s="244" t="s">
        <v>1174</v>
      </c>
      <c r="E63" s="241" t="s">
        <v>1189</v>
      </c>
      <c r="F63" s="241" t="s">
        <v>1190</v>
      </c>
      <c r="G63" s="241" t="s">
        <v>258</v>
      </c>
      <c r="H63" s="242" t="s">
        <v>19</v>
      </c>
      <c r="I63" s="240" t="s"/>
      <c r="J63" s="243" t="s">
        <v>1091</v>
      </c>
      <c r="K63" s="99" t="s"/>
      <c r="L63" s="99" t="s">
        <v>1066</v>
      </c>
      <c r="M63" s="99" t="s"/>
      <c r="N63" s="99" t="s"/>
      <c r="O63" s="97" t="s"/>
      <c r="P63" s="97" t="s"/>
      <c r="Q63" s="97" t="s"/>
      <c r="R63" s="97" t="s"/>
      <c r="S63" s="97" t="s"/>
      <c r="T63" s="97" t="s"/>
      <c r="U63" s="97" t="s"/>
      <c r="V63" s="97" t="s"/>
      <c r="W63" s="97" t="s"/>
      <c r="X63" s="97" t="s"/>
      <c r="Y63" s="97" t="s"/>
      <c r="Z63" s="97" t="s"/>
    </row>
    <row r="64" spans="1:26" s="474" customFormat="true">
      <c r="A64" s="99" t="s"/>
      <c r="B64" s="99" t="s"/>
      <c r="C64" s="99" t="s"/>
      <c r="D64" s="244" t="s">
        <v>1174</v>
      </c>
      <c r="E64" s="241" t="s">
        <v>1191</v>
      </c>
      <c r="F64" s="241" t="s">
        <v>1192</v>
      </c>
      <c r="G64" s="241" t="s">
        <v>258</v>
      </c>
      <c r="H64" s="242" t="s">
        <v>19</v>
      </c>
      <c r="I64" s="240" t="s"/>
      <c r="J64" s="243" t="s">
        <v>1091</v>
      </c>
      <c r="K64" s="99" t="s"/>
      <c r="L64" s="99" t="s">
        <v>1066</v>
      </c>
      <c r="M64" s="99" t="s"/>
      <c r="N64" s="99" t="s"/>
      <c r="O64" s="97" t="s"/>
      <c r="P64" s="97" t="s"/>
      <c r="Q64" s="97" t="s"/>
      <c r="R64" s="97" t="s"/>
      <c r="S64" s="97" t="s"/>
      <c r="T64" s="97" t="s"/>
      <c r="U64" s="97" t="s"/>
      <c r="V64" s="97" t="s"/>
      <c r="W64" s="97" t="s"/>
      <c r="X64" s="97" t="s"/>
      <c r="Y64" s="97" t="s"/>
      <c r="Z64" s="97" t="s"/>
    </row>
    <row r="65" spans="1:26" s="290" customFormat="true">
      <c r="A65" s="202" t="s"/>
      <c r="B65" s="202" t="s"/>
      <c r="C65" s="202" t="s"/>
      <c r="D65" s="245" t="s">
        <v>1174</v>
      </c>
      <c r="E65" s="246" t="s">
        <v>1193</v>
      </c>
      <c r="F65" s="246" t="s">
        <v>1194</v>
      </c>
      <c r="G65" s="246" t="s">
        <v>1063</v>
      </c>
      <c r="H65" s="229" t="s">
        <v>19</v>
      </c>
      <c r="I65" s="247" t="s"/>
      <c r="J65" s="239" t="s">
        <v>1091</v>
      </c>
      <c r="K65" s="202" t="s"/>
      <c r="L65" s="202" t="s">
        <v>1066</v>
      </c>
      <c r="M65" s="202" t="s"/>
      <c r="N65" s="202" t="s"/>
      <c r="O65" s="31" t="s"/>
      <c r="P65" s="31" t="s"/>
      <c r="Q65" s="31" t="s"/>
      <c r="R65" s="31" t="s"/>
      <c r="S65" s="31" t="s"/>
      <c r="T65" s="31" t="s"/>
      <c r="U65" s="31" t="s"/>
      <c r="V65" s="31" t="s"/>
      <c r="W65" s="31" t="s"/>
      <c r="X65" s="31" t="s"/>
      <c r="Y65" s="31" t="s"/>
      <c r="Z65" s="31" t="s"/>
    </row>
    <row r="66" spans="1:26" s="290" customFormat="true">
      <c r="A66" s="248" t="s"/>
      <c r="B66" s="248" t="s"/>
      <c r="C66" s="248" t="s"/>
      <c r="D66" s="249" t="s"/>
      <c r="E66" s="250" t="s">
        <v>1195</v>
      </c>
      <c r="F66" s="250" t="s">
        <v>1196</v>
      </c>
      <c r="G66" s="251" t="s">
        <v>1063</v>
      </c>
      <c r="H66" s="252" t="s">
        <v>19</v>
      </c>
      <c r="I66" s="251" t="s"/>
      <c r="J66" s="253" t="s">
        <v>1091</v>
      </c>
      <c r="K66" s="248" t="s"/>
      <c r="L66" s="248" t="s">
        <v>1197</v>
      </c>
      <c r="M66" s="248" t="s"/>
      <c r="N66" s="248" t="s"/>
      <c r="O66" s="248" t="s"/>
      <c r="P66" s="248" t="s"/>
      <c r="Q66" s="248" t="s"/>
      <c r="R66" s="248" t="s"/>
      <c r="S66" s="248" t="s"/>
      <c r="T66" s="248" t="s"/>
      <c r="U66" s="248" t="s"/>
      <c r="V66" s="248" t="s"/>
      <c r="W66" s="248" t="s"/>
      <c r="X66" s="248" t="s"/>
      <c r="Y66" s="248" t="s"/>
      <c r="Z66" s="248" t="s"/>
    </row>
    <row r="67" spans="1:26" s="290" customFormat="true">
      <c r="A67" s="248" t="s"/>
      <c r="B67" s="248" t="s"/>
      <c r="C67" s="248" t="s"/>
      <c r="D67" s="249" t="s"/>
      <c r="E67" s="250" t="s">
        <v>1198</v>
      </c>
      <c r="F67" s="250" t="s">
        <v>410</v>
      </c>
      <c r="G67" s="251" t="s">
        <v>1063</v>
      </c>
      <c r="H67" s="252" t="s">
        <v>19</v>
      </c>
      <c r="I67" s="251" t="s"/>
      <c r="J67" s="253" t="s">
        <v>1091</v>
      </c>
      <c r="K67" s="248" t="s"/>
      <c r="L67" s="248" t="s">
        <v>1197</v>
      </c>
      <c r="M67" s="248" t="s"/>
      <c r="N67" s="248" t="s"/>
      <c r="O67" s="248" t="s"/>
      <c r="P67" s="248" t="s"/>
      <c r="Q67" s="248" t="s"/>
      <c r="R67" s="248" t="s"/>
      <c r="S67" s="248" t="s"/>
      <c r="T67" s="248" t="s"/>
      <c r="U67" s="248" t="s"/>
      <c r="V67" s="248" t="s"/>
      <c r="W67" s="248" t="s"/>
      <c r="X67" s="248" t="s"/>
      <c r="Y67" s="248" t="s"/>
      <c r="Z67" s="248" t="s"/>
    </row>
    <row r="68" spans="1:26" s="290" customFormat="true">
      <c r="A68" s="248" t="s"/>
      <c r="B68" s="248" t="s"/>
      <c r="C68" s="248" t="s"/>
      <c r="D68" s="249" t="s"/>
      <c r="E68" s="250" t="s">
        <v>1199</v>
      </c>
      <c r="F68" s="254" t="s">
        <v>1200</v>
      </c>
      <c r="G68" s="255" t="s">
        <v>258</v>
      </c>
      <c r="H68" s="255" t="s">
        <v>19</v>
      </c>
      <c r="I68" s="256" t="s">
        <v>1201</v>
      </c>
      <c r="J68" s="253" t="s">
        <v>1091</v>
      </c>
      <c r="K68" s="248" t="s"/>
      <c r="L68" s="248" t="s">
        <v>1197</v>
      </c>
      <c r="M68" s="248" t="s"/>
      <c r="N68" s="248" t="s"/>
      <c r="O68" s="248" t="s"/>
      <c r="P68" s="248" t="s"/>
      <c r="Q68" s="248" t="s"/>
      <c r="R68" s="248" t="s"/>
      <c r="S68" s="248" t="s"/>
      <c r="T68" s="248" t="s"/>
      <c r="U68" s="248" t="s"/>
      <c r="V68" s="248" t="s"/>
      <c r="W68" s="248" t="s"/>
      <c r="X68" s="248" t="s"/>
      <c r="Y68" s="248" t="s"/>
      <c r="Z68" s="248" t="s"/>
    </row>
    <row r="69" spans="6:12">
      <c r="F69" s="217" t="s">
        <v>1202</v>
      </c>
      <c r="L69" s="257" t="s">
        <v>1203</v>
      </c>
    </row>
  </sheetData>
</worksheet>
</file>

<file path=xl/worksheets/sheet15.xml><?xml version="1.0" encoding="utf-8"?>
<worksheet xmlns="http://schemas.openxmlformats.org/spreadsheetml/2006/main">
  <sheetPr codeName="chart limit">
    <tabColor rgb="FFFFFFFF"/>
  </sheetPr>
  <dimension ref="Z174"/>
  <sheetViews>
    <sheetView showGridLines="true" workbookViewId="0"/>
  </sheetViews>
  <sheetFormatPr baseColWidth="13" defaultRowHeight="18" customHeight="true"/>
  <cols>
    <col min="1" max="1" width="32.2539" customWidth="true"/>
    <col min="2" max="2" width="27.1914" customWidth="true"/>
    <col min="3" max="3" width="15.9023" customWidth="true"/>
    <col min="4" max="4" width="15.9922" customWidth="true"/>
    <col min="5" max="5" width="21.9727" customWidth="true"/>
    <col min="6" max="6" width="11.4023" customWidth="true"/>
    <col min="7" max="7" width="10.2031" customWidth="true"/>
    <col min="8" max="8" width="27.2617" customWidth="true"/>
    <col min="9" max="9" width="51.0234" customWidth="true"/>
    <col min="10" max="10" width="15.4023" customWidth="true"/>
    <col min="11" max="11" width="4.3125" customWidth="true"/>
    <col min="12" max="12" width="6.51172" customWidth="true"/>
    <col min="13" max="13" width="43.1641" style="479" customWidth="true"/>
  </cols>
  <sheetData>
    <row r="1" spans="1:13">
      <c r="A1" s="422" t="s">
        <v>1</v>
      </c>
      <c r="B1" s="422" t="s">
        <v>2</v>
      </c>
      <c r="C1" s="422" t="s">
        <v>202</v>
      </c>
      <c r="D1" s="422" t="s">
        <v>4</v>
      </c>
      <c r="E1" s="422" t="s">
        <v>5</v>
      </c>
      <c r="F1" s="422" t="s">
        <v>6</v>
      </c>
      <c r="G1" s="422" t="s">
        <v>7</v>
      </c>
      <c r="H1" s="422" t="s">
        <v>8</v>
      </c>
      <c r="I1" s="422" t="s">
        <v>9</v>
      </c>
      <c r="J1" s="422" t="s">
        <v>204</v>
      </c>
      <c r="K1" s="422" t="s">
        <v>205</v>
      </c>
      <c r="L1" s="422" t="s">
        <v>158</v>
      </c>
      <c r="M1" s="423" t="s">
        <v>213</v>
      </c>
    </row>
    <row r="2" spans="1:26">
      <c r="A2" s="424" t="s"/>
      <c r="B2" s="424" t="s"/>
      <c r="C2" s="425" t="s">
        <v>215</v>
      </c>
      <c r="D2" s="425" t="s">
        <v>2985</v>
      </c>
      <c r="E2" s="425" t="s">
        <v>2986</v>
      </c>
      <c r="F2" s="426" t="s">
        <v>12</v>
      </c>
      <c r="G2" s="426" t="s">
        <v>13</v>
      </c>
      <c r="H2" s="426" t="s">
        <v>2987</v>
      </c>
      <c r="I2" s="427" t="s"/>
      <c r="J2" s="427" t="s"/>
      <c r="K2" s="428">
        <v>1</v>
      </c>
      <c r="L2" s="428">
        <v>1</v>
      </c>
      <c r="M2" s="429" t="s"/>
      <c r="N2" s="430" t="s"/>
      <c r="O2" s="430" t="s"/>
      <c r="P2" s="430" t="s"/>
      <c r="Q2" s="430" t="s"/>
      <c r="R2" s="430" t="s"/>
      <c r="S2" s="430" t="s"/>
      <c r="T2" s="430" t="s"/>
      <c r="U2" s="430" t="s"/>
      <c r="V2" s="430" t="s"/>
      <c r="W2" s="430" t="s"/>
      <c r="X2" s="430" t="s"/>
      <c r="Y2" s="430" t="s"/>
      <c r="Z2" s="430" t="s"/>
    </row>
    <row r="3" spans="1:26">
      <c r="A3" s="424" t="s"/>
      <c r="B3" s="424" t="s"/>
      <c r="C3" s="424" t="s"/>
      <c r="D3" s="425" t="s">
        <v>2988</v>
      </c>
      <c r="E3" s="425" t="s">
        <v>2989</v>
      </c>
      <c r="F3" s="426" t="s">
        <v>12</v>
      </c>
      <c r="G3" s="426" t="s">
        <v>13</v>
      </c>
      <c r="H3" s="426" t="s">
        <v>2987</v>
      </c>
      <c r="I3" s="426" t="s"/>
      <c r="J3" s="427" t="s"/>
      <c r="K3" s="428">
        <v>1</v>
      </c>
      <c r="L3" s="428">
        <v>1</v>
      </c>
      <c r="M3" s="429" t="s"/>
      <c r="N3" s="430" t="s"/>
      <c r="O3" s="430" t="s"/>
      <c r="P3" s="430" t="s"/>
      <c r="Q3" s="430" t="s"/>
      <c r="R3" s="430" t="s"/>
      <c r="S3" s="430" t="s"/>
      <c r="T3" s="430" t="s"/>
      <c r="U3" s="430" t="s"/>
      <c r="V3" s="430" t="s"/>
      <c r="W3" s="430" t="s"/>
      <c r="X3" s="430" t="s"/>
      <c r="Y3" s="430" t="s"/>
      <c r="Z3" s="430" t="s"/>
    </row>
    <row r="4" spans="1:26">
      <c r="A4" s="424" t="s"/>
      <c r="B4" s="424" t="s"/>
      <c r="C4" s="425" t="s">
        <v>2990</v>
      </c>
      <c r="D4" s="425" t="s">
        <v>2991</v>
      </c>
      <c r="E4" s="425" t="s">
        <v>2992</v>
      </c>
      <c r="F4" s="426" t="s">
        <v>12</v>
      </c>
      <c r="G4" s="426" t="s">
        <v>13</v>
      </c>
      <c r="H4" s="426" t="s">
        <v>2987</v>
      </c>
      <c r="I4" s="427" t="s"/>
      <c r="J4" s="427" t="s"/>
      <c r="K4" s="428">
        <v>1</v>
      </c>
      <c r="L4" s="428">
        <v>1</v>
      </c>
      <c r="M4" s="429" t="s"/>
      <c r="N4" s="430" t="s"/>
      <c r="O4" s="430" t="s"/>
      <c r="P4" s="430" t="s"/>
      <c r="Q4" s="430" t="s"/>
      <c r="R4" s="430" t="s"/>
      <c r="S4" s="430" t="s"/>
      <c r="T4" s="430" t="s"/>
      <c r="U4" s="430" t="s"/>
      <c r="V4" s="430" t="s"/>
      <c r="W4" s="430" t="s"/>
      <c r="X4" s="430" t="s"/>
      <c r="Y4" s="430" t="s"/>
      <c r="Z4" s="430" t="s"/>
    </row>
    <row r="5" spans="1:12">
      <c r="A5" s="426" t="s">
        <v>711</v>
      </c>
      <c r="B5" s="426" t="s">
        <v>2993</v>
      </c>
      <c r="C5" s="426" t="s">
        <v>223</v>
      </c>
      <c r="D5" s="426" t="s">
        <v>224</v>
      </c>
      <c r="E5" s="426" t="s">
        <v>225</v>
      </c>
      <c r="F5" s="426" t="s">
        <v>12</v>
      </c>
      <c r="G5" s="426" t="s">
        <v>13</v>
      </c>
      <c r="H5" s="426" t="s">
        <v>2987</v>
      </c>
      <c r="I5" s="426" t="s">
        <v>2994</v>
      </c>
      <c r="J5" s="426" t="s">
        <v>2995</v>
      </c>
      <c r="K5" s="428">
        <v>1</v>
      </c>
      <c r="L5" s="428">
        <v>1</v>
      </c>
    </row>
    <row r="6" spans="1:12">
      <c r="A6" s="426" t="s">
        <v>711</v>
      </c>
      <c r="B6" s="426" t="s">
        <v>26</v>
      </c>
      <c r="C6" s="426" t="s">
        <v>385</v>
      </c>
      <c r="D6" s="426" t="s">
        <v>28</v>
      </c>
      <c r="E6" s="426" t="s">
        <v>29</v>
      </c>
      <c r="F6" s="426" t="s">
        <v>12</v>
      </c>
      <c r="G6" s="426" t="s">
        <v>13</v>
      </c>
      <c r="H6" s="426" t="s">
        <v>2987</v>
      </c>
      <c r="I6" s="426" t="s">
        <v>2996</v>
      </c>
      <c r="J6" s="426" t="s">
        <v>2995</v>
      </c>
      <c r="K6" s="428">
        <v>1</v>
      </c>
      <c r="L6" s="431" t="s"/>
    </row>
    <row r="7" spans="1:12">
      <c r="A7" s="426" t="s">
        <v>711</v>
      </c>
      <c r="B7" s="426" t="s">
        <v>36</v>
      </c>
      <c r="C7" s="426" t="s">
        <v>1470</v>
      </c>
      <c r="D7" s="426" t="s">
        <v>38</v>
      </c>
      <c r="E7" s="426" t="s">
        <v>39</v>
      </c>
      <c r="F7" s="426" t="s">
        <v>12</v>
      </c>
      <c r="G7" s="426" t="s">
        <v>13</v>
      </c>
      <c r="H7" s="426" t="s">
        <v>2987</v>
      </c>
      <c r="I7" s="426" t="s">
        <v>2997</v>
      </c>
      <c r="J7" s="426" t="s">
        <v>2995</v>
      </c>
      <c r="K7" s="428">
        <v>1</v>
      </c>
      <c r="L7" s="431" t="s"/>
    </row>
    <row r="8" spans="1:12">
      <c r="A8" s="426" t="s">
        <v>711</v>
      </c>
      <c r="B8" s="426" t="s">
        <v>2998</v>
      </c>
      <c r="C8" s="426" t="s">
        <v>2999</v>
      </c>
      <c r="D8" s="426" t="s">
        <v>3000</v>
      </c>
      <c r="E8" s="426" t="s">
        <v>3001</v>
      </c>
      <c r="F8" s="426" t="s">
        <v>12</v>
      </c>
      <c r="G8" s="426" t="s">
        <v>13</v>
      </c>
      <c r="H8" s="426" t="s">
        <v>2987</v>
      </c>
      <c r="I8" s="426" t="s">
        <v>3002</v>
      </c>
      <c r="J8" s="426" t="s">
        <v>2995</v>
      </c>
      <c r="K8" s="428">
        <v>1</v>
      </c>
      <c r="L8" s="431" t="s"/>
    </row>
    <row r="9" spans="1:12">
      <c r="A9" s="426" t="s">
        <v>711</v>
      </c>
      <c r="B9" s="426" t="s">
        <v>433</v>
      </c>
      <c r="C9" s="426" t="s">
        <v>434</v>
      </c>
      <c r="D9" s="426" t="s">
        <v>434</v>
      </c>
      <c r="E9" s="426" t="s">
        <v>435</v>
      </c>
      <c r="F9" s="426" t="s">
        <v>12</v>
      </c>
      <c r="G9" s="426" t="s">
        <v>13</v>
      </c>
      <c r="H9" s="426" t="s">
        <v>2987</v>
      </c>
      <c r="I9" s="426" t="s">
        <v>3003</v>
      </c>
      <c r="J9" s="426" t="s">
        <v>2995</v>
      </c>
      <c r="K9" s="428">
        <v>1</v>
      </c>
      <c r="L9" s="431" t="s"/>
    </row>
    <row r="10" spans="1:12">
      <c r="A10" s="426" t="s">
        <v>711</v>
      </c>
      <c r="B10" s="426" t="s">
        <v>459</v>
      </c>
      <c r="C10" s="426" t="s">
        <v>460</v>
      </c>
      <c r="D10" s="426" t="s">
        <v>460</v>
      </c>
      <c r="E10" s="426" t="s">
        <v>461</v>
      </c>
      <c r="F10" s="426" t="s">
        <v>12</v>
      </c>
      <c r="G10" s="426" t="s">
        <v>13</v>
      </c>
      <c r="H10" s="426" t="s">
        <v>2987</v>
      </c>
      <c r="I10" s="426" t="s">
        <v>3004</v>
      </c>
      <c r="J10" s="426" t="s">
        <v>2995</v>
      </c>
      <c r="K10" s="428">
        <v>1</v>
      </c>
      <c r="L10" s="428">
        <v>1</v>
      </c>
    </row>
    <row r="11" spans="1:12">
      <c r="A11" s="426" t="s">
        <v>711</v>
      </c>
      <c r="B11" s="426" t="s">
        <v>712</v>
      </c>
      <c r="C11" s="426" t="s">
        <v>713</v>
      </c>
      <c r="D11" s="426" t="s">
        <v>714</v>
      </c>
      <c r="E11" s="426" t="s">
        <v>715</v>
      </c>
      <c r="F11" s="426" t="s">
        <v>12</v>
      </c>
      <c r="G11" s="426" t="s">
        <v>13</v>
      </c>
      <c r="H11" s="426" t="s">
        <v>2987</v>
      </c>
      <c r="I11" s="432" t="s">
        <v>3225</v>
      </c>
      <c r="J11" s="426" t="s">
        <v>2995</v>
      </c>
      <c r="K11" s="428">
        <v>1</v>
      </c>
      <c r="L11" s="428">
        <v>1</v>
      </c>
    </row>
    <row r="12" spans="1:12">
      <c r="A12" s="426" t="s">
        <v>711</v>
      </c>
      <c r="B12" s="426" t="s">
        <v>717</v>
      </c>
      <c r="C12" s="426" t="s">
        <v>718</v>
      </c>
      <c r="D12" s="426" t="s">
        <v>719</v>
      </c>
      <c r="E12" s="426" t="s">
        <v>720</v>
      </c>
      <c r="F12" s="426" t="s">
        <v>12</v>
      </c>
      <c r="G12" s="426" t="s">
        <v>13</v>
      </c>
      <c r="H12" s="426" t="s">
        <v>2987</v>
      </c>
      <c r="I12" s="426" t="s">
        <v>3005</v>
      </c>
      <c r="J12" s="426" t="s">
        <v>2995</v>
      </c>
      <c r="K12" s="428">
        <v>1</v>
      </c>
      <c r="L12" s="431" t="s"/>
    </row>
    <row r="13" spans="1:12">
      <c r="A13" s="426" t="s">
        <v>711</v>
      </c>
      <c r="B13" s="426" t="s">
        <v>1833</v>
      </c>
      <c r="C13" s="426" t="s">
        <v>3006</v>
      </c>
      <c r="D13" s="426" t="s">
        <v>1834</v>
      </c>
      <c r="E13" s="426" t="s">
        <v>629</v>
      </c>
      <c r="F13" s="426" t="s">
        <v>12</v>
      </c>
      <c r="G13" s="426" t="s">
        <v>13</v>
      </c>
      <c r="H13" s="426" t="s">
        <v>2987</v>
      </c>
      <c r="I13" s="426" t="s">
        <v>2996</v>
      </c>
      <c r="J13" s="426" t="s">
        <v>2995</v>
      </c>
      <c r="K13" s="428">
        <v>1</v>
      </c>
      <c r="L13" s="431" t="s"/>
    </row>
    <row r="14" spans="1:12">
      <c r="A14" s="426" t="s">
        <v>711</v>
      </c>
      <c r="B14" s="426" t="s">
        <v>631</v>
      </c>
      <c r="C14" s="426" t="s">
        <v>3007</v>
      </c>
      <c r="D14" s="426" t="s">
        <v>632</v>
      </c>
      <c r="E14" s="426" t="s">
        <v>633</v>
      </c>
      <c r="F14" s="426" t="s">
        <v>12</v>
      </c>
      <c r="G14" s="426" t="s">
        <v>13</v>
      </c>
      <c r="H14" s="426" t="s">
        <v>2987</v>
      </c>
      <c r="I14" s="426" t="s">
        <v>2996</v>
      </c>
      <c r="J14" s="426" t="s">
        <v>2995</v>
      </c>
      <c r="K14" s="428">
        <v>1</v>
      </c>
      <c r="L14" s="431" t="s"/>
    </row>
    <row r="15" spans="1:12">
      <c r="A15" s="426" t="s">
        <v>711</v>
      </c>
      <c r="B15" s="426" t="s">
        <v>520</v>
      </c>
      <c r="C15" s="426" t="s">
        <v>521</v>
      </c>
      <c r="D15" s="426" t="s">
        <v>522</v>
      </c>
      <c r="E15" s="426" t="s">
        <v>523</v>
      </c>
      <c r="F15" s="426" t="s">
        <v>99</v>
      </c>
      <c r="G15" s="426" t="s">
        <v>13</v>
      </c>
      <c r="H15" s="426" t="s">
        <v>2987</v>
      </c>
      <c r="I15" s="426" t="s">
        <v>3008</v>
      </c>
      <c r="J15" s="426" t="s">
        <v>2995</v>
      </c>
      <c r="K15" s="428">
        <v>1</v>
      </c>
      <c r="L15" s="431" t="s"/>
    </row>
    <row r="16" spans="1:12">
      <c r="A16" s="426" t="s">
        <v>711</v>
      </c>
      <c r="B16" s="426" t="s">
        <v>723</v>
      </c>
      <c r="C16" s="426" t="s">
        <v>723</v>
      </c>
      <c r="D16" s="426" t="s">
        <v>724</v>
      </c>
      <c r="E16" s="426" t="s">
        <v>725</v>
      </c>
      <c r="F16" s="426" t="s">
        <v>99</v>
      </c>
      <c r="G16" s="426" t="s">
        <v>13</v>
      </c>
      <c r="H16" s="426" t="s">
        <v>2987</v>
      </c>
      <c r="I16" s="426" t="s">
        <v>3009</v>
      </c>
      <c r="J16" s="426" t="s">
        <v>2995</v>
      </c>
      <c r="K16" s="428">
        <v>1</v>
      </c>
      <c r="L16" s="431" t="s"/>
    </row>
    <row r="17" spans="1:12">
      <c r="A17" s="426" t="s">
        <v>711</v>
      </c>
      <c r="B17" s="426" t="s">
        <v>526</v>
      </c>
      <c r="C17" s="426" t="s">
        <v>527</v>
      </c>
      <c r="D17" s="426" t="s">
        <v>528</v>
      </c>
      <c r="E17" s="426" t="s">
        <v>529</v>
      </c>
      <c r="F17" s="426" t="s">
        <v>99</v>
      </c>
      <c r="G17" s="426" t="s">
        <v>13</v>
      </c>
      <c r="H17" s="426" t="s">
        <v>2987</v>
      </c>
      <c r="I17" s="426" t="s">
        <v>3010</v>
      </c>
      <c r="J17" s="426" t="s">
        <v>2995</v>
      </c>
      <c r="K17" s="428">
        <v>1</v>
      </c>
      <c r="L17" s="431" t="s"/>
    </row>
    <row r="18" spans="1:12">
      <c r="A18" s="426" t="s">
        <v>711</v>
      </c>
      <c r="B18" s="426" t="s">
        <v>531</v>
      </c>
      <c r="C18" s="426" t="s">
        <v>532</v>
      </c>
      <c r="D18" s="426" t="s">
        <v>533</v>
      </c>
      <c r="E18" s="426" t="s">
        <v>534</v>
      </c>
      <c r="F18" s="426" t="s">
        <v>99</v>
      </c>
      <c r="G18" s="426" t="s">
        <v>13</v>
      </c>
      <c r="H18" s="426" t="s">
        <v>2987</v>
      </c>
      <c r="I18" s="426" t="s">
        <v>3011</v>
      </c>
      <c r="J18" s="426" t="s">
        <v>2995</v>
      </c>
      <c r="K18" s="428">
        <v>1</v>
      </c>
      <c r="L18" s="431" t="s"/>
    </row>
    <row r="19" spans="1:12">
      <c r="A19" s="426" t="s">
        <v>711</v>
      </c>
      <c r="B19" s="426" t="s">
        <v>536</v>
      </c>
      <c r="C19" s="426" t="s">
        <v>537</v>
      </c>
      <c r="D19" s="426" t="s">
        <v>538</v>
      </c>
      <c r="E19" s="426" t="s">
        <v>3012</v>
      </c>
      <c r="F19" s="426" t="s">
        <v>99</v>
      </c>
      <c r="G19" s="426" t="s">
        <v>13</v>
      </c>
      <c r="H19" s="426" t="s">
        <v>2987</v>
      </c>
      <c r="I19" s="426" t="s">
        <v>3013</v>
      </c>
      <c r="J19" s="426" t="s">
        <v>2995</v>
      </c>
      <c r="K19" s="428">
        <v>1</v>
      </c>
      <c r="L19" s="431" t="s"/>
    </row>
    <row r="20" spans="1:12">
      <c r="A20" s="426" t="s">
        <v>711</v>
      </c>
      <c r="B20" s="426" t="s">
        <v>541</v>
      </c>
      <c r="C20" s="426" t="s">
        <v>542</v>
      </c>
      <c r="D20" s="426" t="s">
        <v>542</v>
      </c>
      <c r="E20" s="426" t="s">
        <v>543</v>
      </c>
      <c r="F20" s="426" t="s">
        <v>99</v>
      </c>
      <c r="G20" s="426" t="s">
        <v>13</v>
      </c>
      <c r="H20" s="426" t="s">
        <v>2987</v>
      </c>
      <c r="I20" s="426" t="s">
        <v>3014</v>
      </c>
      <c r="J20" s="426" t="s">
        <v>2995</v>
      </c>
      <c r="K20" s="428">
        <v>1</v>
      </c>
      <c r="L20" s="431" t="s"/>
    </row>
    <row r="21" spans="1:12">
      <c r="A21" s="426" t="s">
        <v>711</v>
      </c>
      <c r="B21" s="426" t="s">
        <v>501</v>
      </c>
      <c r="C21" s="426" t="s">
        <v>502</v>
      </c>
      <c r="D21" s="426" t="s">
        <v>555</v>
      </c>
      <c r="E21" s="426" t="s">
        <v>556</v>
      </c>
      <c r="F21" s="426" t="s">
        <v>119</v>
      </c>
      <c r="G21" s="426" t="s">
        <v>13</v>
      </c>
      <c r="H21" s="426" t="s">
        <v>2987</v>
      </c>
      <c r="I21" s="426" t="s">
        <v>2057</v>
      </c>
      <c r="J21" s="426" t="s">
        <v>2995</v>
      </c>
      <c r="K21" s="428">
        <v>1</v>
      </c>
      <c r="L21" s="428">
        <v>1</v>
      </c>
    </row>
    <row r="22" spans="1:12">
      <c r="A22" s="426" t="s">
        <v>711</v>
      </c>
      <c r="B22" s="426" t="s">
        <v>505</v>
      </c>
      <c r="C22" s="426" t="s">
        <v>506</v>
      </c>
      <c r="D22" s="426" t="s">
        <v>558</v>
      </c>
      <c r="E22" s="426" t="s">
        <v>559</v>
      </c>
      <c r="F22" s="426" t="s">
        <v>119</v>
      </c>
      <c r="G22" s="426" t="s">
        <v>13</v>
      </c>
      <c r="H22" s="426" t="s">
        <v>2987</v>
      </c>
      <c r="I22" s="426" t="s">
        <v>2057</v>
      </c>
      <c r="J22" s="426" t="s">
        <v>2995</v>
      </c>
      <c r="K22" s="428">
        <v>1</v>
      </c>
      <c r="L22" s="428">
        <v>1</v>
      </c>
    </row>
    <row r="23" spans="1:12">
      <c r="A23" s="426" t="s">
        <v>711</v>
      </c>
      <c r="B23" s="433" t="s">
        <v>509</v>
      </c>
      <c r="C23" s="433" t="s">
        <v>117</v>
      </c>
      <c r="D23" s="434" t="s">
        <v>561</v>
      </c>
      <c r="E23" s="426" t="s">
        <v>562</v>
      </c>
      <c r="F23" s="426" t="s">
        <v>119</v>
      </c>
      <c r="G23" s="426" t="s">
        <v>13</v>
      </c>
      <c r="H23" s="426" t="s">
        <v>2987</v>
      </c>
      <c r="I23" s="435" t="s"/>
      <c r="J23" s="435" t="s"/>
      <c r="K23" s="428">
        <v>1</v>
      </c>
      <c r="L23" s="428">
        <v>1</v>
      </c>
    </row>
    <row r="24" spans="1:13" s="480" customFormat="true" hidden="true">
      <c r="A24" s="436" t="s"/>
      <c r="B24" s="436" t="s"/>
      <c r="C24" s="437" t="s"/>
      <c r="D24" s="437" t="s"/>
      <c r="E24" s="437" t="s">
        <v>3015</v>
      </c>
      <c r="F24" s="437" t="s"/>
      <c r="G24" s="437" t="s"/>
      <c r="H24" s="438" t="s">
        <v>2987</v>
      </c>
      <c r="I24" s="439" t="s"/>
      <c r="J24" s="436" t="s"/>
      <c r="K24" s="440" t="s"/>
      <c r="L24" s="440" t="s"/>
      <c r="M24" s="441" t="s"/>
    </row>
    <row r="25" spans="1:13" s="480" customFormat="true">
      <c r="A25" s="436" t="s"/>
      <c r="B25" s="436" t="s"/>
      <c r="C25" s="437" t="s"/>
      <c r="D25" s="437" t="s"/>
      <c r="E25" s="437" t="s">
        <v>3016</v>
      </c>
      <c r="F25" s="426" t="s">
        <v>12</v>
      </c>
      <c r="G25" s="426" t="s">
        <v>13</v>
      </c>
      <c r="H25" s="426" t="s">
        <v>2987</v>
      </c>
      <c r="I25" s="439" t="s"/>
      <c r="J25" s="436" t="s"/>
      <c r="K25" s="440">
        <v>1</v>
      </c>
      <c r="L25" s="440">
        <v>1</v>
      </c>
      <c r="M25" s="441" t="s"/>
    </row>
    <row r="26" spans="1:13" s="481" customFormat="true">
      <c r="A26" s="442" t="s">
        <v>3017</v>
      </c>
      <c r="B26" s="442" t="s"/>
      <c r="C26" s="443" t="s">
        <v>2053</v>
      </c>
      <c r="D26" s="443" t="s">
        <v>2054</v>
      </c>
      <c r="E26" s="443" t="s">
        <v>2055</v>
      </c>
      <c r="F26" s="443" t="s">
        <v>12</v>
      </c>
      <c r="G26" s="443" t="s">
        <v>13</v>
      </c>
      <c r="H26" s="443" t="s">
        <v>2987</v>
      </c>
      <c r="I26" s="444" t="s">
        <v>3018</v>
      </c>
      <c r="J26" s="442" t="s"/>
      <c r="K26" s="445">
        <v>1</v>
      </c>
      <c r="L26" s="445">
        <v>1</v>
      </c>
      <c r="M26" s="446" t="s"/>
    </row>
    <row r="27" spans="1:13" s="481" customFormat="true">
      <c r="A27" s="442" t="s"/>
      <c r="B27" s="442" t="s"/>
      <c r="C27" s="443" t="s">
        <v>3019</v>
      </c>
      <c r="D27" s="443" t="s">
        <v>3019</v>
      </c>
      <c r="E27" s="443" t="s">
        <v>3020</v>
      </c>
      <c r="F27" s="443" t="s">
        <v>12</v>
      </c>
      <c r="G27" s="443" t="s">
        <v>13</v>
      </c>
      <c r="H27" s="443" t="s">
        <v>2987</v>
      </c>
      <c r="I27" s="443" t="s">
        <v>3021</v>
      </c>
      <c r="J27" s="447" t="s"/>
      <c r="K27" s="445">
        <v>1</v>
      </c>
      <c r="L27" s="445">
        <v>1</v>
      </c>
      <c r="M27" s="446" t="s"/>
    </row>
    <row r="28" spans="1:13" s="481" customFormat="true">
      <c r="A28" s="442" t="s"/>
      <c r="B28" s="442" t="s"/>
      <c r="C28" s="443" t="s">
        <v>3022</v>
      </c>
      <c r="D28" s="443" t="s">
        <v>3022</v>
      </c>
      <c r="E28" s="443" t="s">
        <v>3023</v>
      </c>
      <c r="F28" s="443" t="s">
        <v>12</v>
      </c>
      <c r="G28" s="443" t="s">
        <v>13</v>
      </c>
      <c r="H28" s="443" t="s">
        <v>2987</v>
      </c>
      <c r="I28" s="443" t="s">
        <v>3021</v>
      </c>
      <c r="J28" s="447" t="s"/>
      <c r="K28" s="445">
        <v>1</v>
      </c>
      <c r="L28" s="445">
        <v>1</v>
      </c>
      <c r="M28" s="446" t="s"/>
    </row>
    <row r="29" spans="1:13" s="481" customFormat="true">
      <c r="A29" s="442" t="s"/>
      <c r="B29" s="442" t="s"/>
      <c r="C29" s="443" t="s">
        <v>3024</v>
      </c>
      <c r="D29" s="443" t="s">
        <v>3024</v>
      </c>
      <c r="E29" s="443" t="s">
        <v>3025</v>
      </c>
      <c r="F29" s="443" t="s">
        <v>12</v>
      </c>
      <c r="G29" s="443" t="s">
        <v>13</v>
      </c>
      <c r="H29" s="443" t="s">
        <v>2987</v>
      </c>
      <c r="I29" s="443" t="s">
        <v>3021</v>
      </c>
      <c r="J29" s="447" t="s"/>
      <c r="K29" s="445">
        <v>1</v>
      </c>
      <c r="L29" s="445">
        <v>1</v>
      </c>
      <c r="M29" s="446" t="s"/>
    </row>
    <row r="30" spans="1:13" s="481" customFormat="true">
      <c r="A30" s="442" t="s"/>
      <c r="B30" s="442" t="s"/>
      <c r="C30" s="443" t="s">
        <v>506</v>
      </c>
      <c r="D30" s="443" t="s">
        <v>3026</v>
      </c>
      <c r="E30" s="443" t="s">
        <v>3027</v>
      </c>
      <c r="F30" s="443" t="s">
        <v>119</v>
      </c>
      <c r="G30" s="443" t="s">
        <v>13</v>
      </c>
      <c r="H30" s="443" t="s">
        <v>2987</v>
      </c>
      <c r="I30" s="443" t="s">
        <v>3021</v>
      </c>
      <c r="J30" s="447" t="s"/>
      <c r="K30" s="445">
        <v>1</v>
      </c>
      <c r="L30" s="445">
        <v>1</v>
      </c>
      <c r="M30" s="446" t="s"/>
    </row>
    <row r="31" spans="1:13" s="481" customFormat="true">
      <c r="A31" s="442" t="s"/>
      <c r="B31" s="442" t="s"/>
      <c r="C31" s="443" t="s">
        <v>3028</v>
      </c>
      <c r="D31" s="443" t="s">
        <v>3028</v>
      </c>
      <c r="E31" s="443" t="s">
        <v>3029</v>
      </c>
      <c r="F31" s="443" t="s">
        <v>99</v>
      </c>
      <c r="G31" s="443" t="s">
        <v>13</v>
      </c>
      <c r="H31" s="443" t="s">
        <v>2987</v>
      </c>
      <c r="I31" s="443" t="s">
        <v>3021</v>
      </c>
      <c r="J31" s="447" t="s"/>
      <c r="K31" s="445">
        <v>1</v>
      </c>
      <c r="L31" s="445">
        <v>1</v>
      </c>
      <c r="M31" s="446" t="s"/>
    </row>
    <row r="32" spans="1:13" s="481" customFormat="true">
      <c r="A32" s="442" t="s"/>
      <c r="B32" s="442" t="s"/>
      <c r="C32" s="443" t="s">
        <v>3030</v>
      </c>
      <c r="D32" s="443" t="s">
        <v>3030</v>
      </c>
      <c r="E32" s="443" t="s">
        <v>3031</v>
      </c>
      <c r="F32" s="443" t="s">
        <v>99</v>
      </c>
      <c r="G32" s="443" t="s">
        <v>13</v>
      </c>
      <c r="H32" s="443" t="s">
        <v>2987</v>
      </c>
      <c r="I32" s="443" t="s">
        <v>3021</v>
      </c>
      <c r="J32" s="447" t="s"/>
      <c r="K32" s="445">
        <v>1</v>
      </c>
      <c r="L32" s="445">
        <v>1</v>
      </c>
      <c r="M32" s="446" t="s"/>
    </row>
    <row r="33" spans="1:13" s="481" customFormat="true">
      <c r="A33" s="442" t="s"/>
      <c r="B33" s="442" t="s"/>
      <c r="C33" s="443" t="s">
        <v>3032</v>
      </c>
      <c r="D33" s="443" t="s">
        <v>3032</v>
      </c>
      <c r="E33" s="443" t="s">
        <v>3033</v>
      </c>
      <c r="F33" s="443" t="s">
        <v>99</v>
      </c>
      <c r="G33" s="443" t="s">
        <v>13</v>
      </c>
      <c r="H33" s="443" t="s">
        <v>2987</v>
      </c>
      <c r="I33" s="443" t="s">
        <v>3021</v>
      </c>
      <c r="J33" s="447" t="s"/>
      <c r="K33" s="445">
        <v>1</v>
      </c>
      <c r="L33" s="445">
        <v>1</v>
      </c>
      <c r="M33" s="446" t="s"/>
    </row>
    <row r="34" spans="1:13" s="481" customFormat="true">
      <c r="A34" s="442" t="s"/>
      <c r="B34" s="442" t="s"/>
      <c r="C34" s="443" t="s">
        <v>3034</v>
      </c>
      <c r="D34" s="443" t="s">
        <v>3034</v>
      </c>
      <c r="E34" s="443" t="s">
        <v>3035</v>
      </c>
      <c r="F34" s="443" t="s">
        <v>99</v>
      </c>
      <c r="G34" s="443" t="s">
        <v>13</v>
      </c>
      <c r="H34" s="443" t="s">
        <v>2987</v>
      </c>
      <c r="I34" s="443" t="s">
        <v>3021</v>
      </c>
      <c r="J34" s="447" t="s"/>
      <c r="K34" s="445">
        <v>1</v>
      </c>
      <c r="L34" s="445">
        <v>1</v>
      </c>
      <c r="M34" s="446" t="s"/>
    </row>
    <row r="35" spans="1:13" s="481" customFormat="true">
      <c r="A35" s="442" t="s"/>
      <c r="B35" s="442" t="s"/>
      <c r="C35" s="443" t="s">
        <v>3036</v>
      </c>
      <c r="D35" s="443" t="s">
        <v>3036</v>
      </c>
      <c r="E35" s="443" t="s">
        <v>3037</v>
      </c>
      <c r="F35" s="443" t="s">
        <v>258</v>
      </c>
      <c r="G35" s="443" t="s">
        <v>13</v>
      </c>
      <c r="H35" s="443" t="s">
        <v>2987</v>
      </c>
      <c r="I35" s="443" t="s">
        <v>3021</v>
      </c>
      <c r="J35" s="447" t="s"/>
      <c r="K35" s="445">
        <v>1</v>
      </c>
      <c r="L35" s="445">
        <v>1</v>
      </c>
      <c r="M35" s="446" t="s"/>
    </row>
    <row r="36" spans="1:13" s="481" customFormat="true">
      <c r="A36" s="442" t="s"/>
      <c r="B36" s="442" t="s"/>
      <c r="C36" s="443" t="s">
        <v>3038</v>
      </c>
      <c r="D36" s="443" t="s">
        <v>3038</v>
      </c>
      <c r="E36" s="443" t="s">
        <v>3039</v>
      </c>
      <c r="F36" s="443" t="s">
        <v>99</v>
      </c>
      <c r="G36" s="443" t="s">
        <v>13</v>
      </c>
      <c r="H36" s="443" t="s">
        <v>2987</v>
      </c>
      <c r="I36" s="443" t="s">
        <v>3021</v>
      </c>
      <c r="J36" s="447" t="s"/>
      <c r="K36" s="445">
        <v>1</v>
      </c>
      <c r="L36" s="445">
        <v>1</v>
      </c>
      <c r="M36" s="446" t="s"/>
    </row>
    <row r="37" spans="1:13" s="481" customFormat="true">
      <c r="A37" s="442" t="s"/>
      <c r="B37" s="442" t="s"/>
      <c r="C37" s="443" t="s">
        <v>3040</v>
      </c>
      <c r="D37" s="443" t="s">
        <v>3040</v>
      </c>
      <c r="E37" s="443" t="s">
        <v>3041</v>
      </c>
      <c r="F37" s="443" t="s">
        <v>12</v>
      </c>
      <c r="G37" s="443" t="s">
        <v>13</v>
      </c>
      <c r="H37" s="443" t="s">
        <v>2987</v>
      </c>
      <c r="I37" s="443" t="s">
        <v>3021</v>
      </c>
      <c r="J37" s="447" t="s"/>
      <c r="K37" s="445">
        <v>1</v>
      </c>
      <c r="L37" s="445">
        <v>1</v>
      </c>
      <c r="M37" s="446" t="s"/>
    </row>
    <row r="38" spans="1:13" s="481" customFormat="true">
      <c r="A38" s="442" t="s"/>
      <c r="B38" s="442" t="s"/>
      <c r="C38" s="443" t="s">
        <v>3042</v>
      </c>
      <c r="D38" s="443" t="s">
        <v>3042</v>
      </c>
      <c r="E38" s="443" t="s">
        <v>3043</v>
      </c>
      <c r="F38" s="443" t="s">
        <v>12</v>
      </c>
      <c r="G38" s="443" t="s">
        <v>13</v>
      </c>
      <c r="H38" s="443" t="s">
        <v>2987</v>
      </c>
      <c r="I38" s="443" t="s">
        <v>3021</v>
      </c>
      <c r="J38" s="447" t="s"/>
      <c r="K38" s="445">
        <v>1</v>
      </c>
      <c r="L38" s="445">
        <v>1</v>
      </c>
      <c r="M38" s="446" t="s"/>
    </row>
    <row r="39" spans="1:13" s="481" customFormat="true">
      <c r="A39" s="442" t="s"/>
      <c r="B39" s="442" t="s"/>
      <c r="C39" s="443" t="s">
        <v>1984</v>
      </c>
      <c r="D39" s="443" t="s">
        <v>1984</v>
      </c>
      <c r="E39" s="443" t="s">
        <v>1985</v>
      </c>
      <c r="F39" s="443" t="s">
        <v>12</v>
      </c>
      <c r="G39" s="443" t="s">
        <v>13</v>
      </c>
      <c r="H39" s="443" t="s">
        <v>2987</v>
      </c>
      <c r="I39" s="443" t="s">
        <v>3021</v>
      </c>
      <c r="J39" s="447" t="s"/>
      <c r="K39" s="445">
        <v>1</v>
      </c>
      <c r="L39" s="445">
        <v>1</v>
      </c>
      <c r="M39" s="446" t="s"/>
    </row>
    <row r="40" spans="1:13" s="481" customFormat="true">
      <c r="A40" s="442" t="s"/>
      <c r="B40" s="442" t="s"/>
      <c r="C40" s="443" t="s">
        <v>3044</v>
      </c>
      <c r="D40" s="443" t="s">
        <v>3045</v>
      </c>
      <c r="E40" s="443" t="s">
        <v>3046</v>
      </c>
      <c r="F40" s="443" t="s">
        <v>12</v>
      </c>
      <c r="G40" s="443" t="s">
        <v>13</v>
      </c>
      <c r="H40" s="443" t="s">
        <v>2987</v>
      </c>
      <c r="I40" s="443" t="s">
        <v>3047</v>
      </c>
      <c r="J40" s="447" t="s"/>
      <c r="K40" s="448" t="s"/>
      <c r="L40" s="445">
        <v>1</v>
      </c>
      <c r="M40" s="446" t="s"/>
    </row>
    <row r="41" spans="1:13" s="481" customFormat="true">
      <c r="A41" s="442" t="s"/>
      <c r="B41" s="442" t="s"/>
      <c r="C41" s="443" t="s">
        <v>3048</v>
      </c>
      <c r="D41" s="443" t="s">
        <v>3048</v>
      </c>
      <c r="E41" s="443" t="s">
        <v>3049</v>
      </c>
      <c r="F41" s="443" t="s">
        <v>12</v>
      </c>
      <c r="G41" s="443" t="s">
        <v>13</v>
      </c>
      <c r="H41" s="443" t="s">
        <v>2987</v>
      </c>
      <c r="I41" s="443" t="s">
        <v>3047</v>
      </c>
      <c r="J41" s="447" t="s"/>
      <c r="K41" s="448" t="s"/>
      <c r="L41" s="445">
        <v>1</v>
      </c>
      <c r="M41" s="446" t="s"/>
    </row>
    <row r="42" spans="1:13" s="481" customFormat="true">
      <c r="A42" s="442" t="s"/>
      <c r="B42" s="442" t="s"/>
      <c r="C42" s="443" t="s">
        <v>3050</v>
      </c>
      <c r="D42" s="443" t="s">
        <v>3050</v>
      </c>
      <c r="E42" s="443" t="s">
        <v>3051</v>
      </c>
      <c r="F42" s="443" t="s">
        <v>12</v>
      </c>
      <c r="G42" s="443" t="s">
        <v>13</v>
      </c>
      <c r="H42" s="443" t="s">
        <v>2987</v>
      </c>
      <c r="I42" s="443" t="s">
        <v>3047</v>
      </c>
      <c r="J42" s="447" t="s"/>
      <c r="K42" s="448" t="s"/>
      <c r="L42" s="445">
        <v>1</v>
      </c>
      <c r="M42" s="446" t="s"/>
    </row>
    <row r="43" spans="1:13" s="481" customFormat="true">
      <c r="A43" s="442" t="s"/>
      <c r="B43" s="442" t="s"/>
      <c r="C43" s="443" t="s">
        <v>2486</v>
      </c>
      <c r="D43" s="443" t="s">
        <v>2486</v>
      </c>
      <c r="E43" s="443" t="s">
        <v>2487</v>
      </c>
      <c r="F43" s="443" t="s">
        <v>12</v>
      </c>
      <c r="G43" s="443" t="s">
        <v>13</v>
      </c>
      <c r="H43" s="443" t="s">
        <v>2987</v>
      </c>
      <c r="I43" s="443" t="s">
        <v>3047</v>
      </c>
      <c r="J43" s="447" t="s"/>
      <c r="K43" s="448" t="s"/>
      <c r="L43" s="445">
        <v>1</v>
      </c>
      <c r="M43" s="446" t="s"/>
    </row>
    <row r="44" spans="1:13" s="481" customFormat="true">
      <c r="A44" s="442" t="s"/>
      <c r="B44" s="442" t="s"/>
      <c r="C44" s="443" t="s">
        <v>3052</v>
      </c>
      <c r="D44" s="443" t="s">
        <v>3052</v>
      </c>
      <c r="E44" s="443" t="s">
        <v>3053</v>
      </c>
      <c r="F44" s="443" t="s">
        <v>12</v>
      </c>
      <c r="G44" s="443" t="s">
        <v>13</v>
      </c>
      <c r="H44" s="443" t="s">
        <v>2987</v>
      </c>
      <c r="I44" s="443" t="s">
        <v>3047</v>
      </c>
      <c r="J44" s="447" t="s"/>
      <c r="K44" s="448" t="s"/>
      <c r="L44" s="445">
        <v>1</v>
      </c>
      <c r="M44" s="446" t="s"/>
    </row>
    <row r="45" spans="1:13" s="481" customFormat="true">
      <c r="A45" s="442" t="s"/>
      <c r="B45" s="442" t="s"/>
      <c r="C45" s="443" t="s">
        <v>3054</v>
      </c>
      <c r="D45" s="443" t="s">
        <v>3054</v>
      </c>
      <c r="E45" s="443" t="s">
        <v>3055</v>
      </c>
      <c r="F45" s="443" t="s">
        <v>12</v>
      </c>
      <c r="G45" s="443" t="s">
        <v>13</v>
      </c>
      <c r="H45" s="443" t="s">
        <v>2987</v>
      </c>
      <c r="I45" s="443" t="s">
        <v>3047</v>
      </c>
      <c r="J45" s="447" t="s"/>
      <c r="K45" s="448" t="s"/>
      <c r="L45" s="445">
        <v>1</v>
      </c>
      <c r="M45" s="446" t="s"/>
    </row>
    <row r="46" spans="1:13" s="481" customFormat="true">
      <c r="A46" s="442" t="s"/>
      <c r="B46" s="442" t="s"/>
      <c r="C46" s="443" t="s">
        <v>3056</v>
      </c>
      <c r="D46" s="443" t="s">
        <v>3056</v>
      </c>
      <c r="E46" s="443" t="s">
        <v>3057</v>
      </c>
      <c r="F46" s="443" t="s">
        <v>12</v>
      </c>
      <c r="G46" s="443" t="s">
        <v>13</v>
      </c>
      <c r="H46" s="443" t="s">
        <v>2987</v>
      </c>
      <c r="I46" s="443" t="s">
        <v>3047</v>
      </c>
      <c r="J46" s="447" t="s"/>
      <c r="K46" s="448" t="s"/>
      <c r="L46" s="445">
        <v>1</v>
      </c>
      <c r="M46" s="446" t="s"/>
    </row>
    <row r="47" spans="1:13" s="481" customFormat="true">
      <c r="A47" s="442" t="s"/>
      <c r="B47" s="442" t="s"/>
      <c r="C47" s="443" t="s">
        <v>3058</v>
      </c>
      <c r="D47" s="443" t="s">
        <v>3058</v>
      </c>
      <c r="E47" s="443" t="s">
        <v>3059</v>
      </c>
      <c r="F47" s="443" t="s">
        <v>258</v>
      </c>
      <c r="G47" s="443" t="s">
        <v>13</v>
      </c>
      <c r="H47" s="443" t="s">
        <v>2987</v>
      </c>
      <c r="I47" s="443" t="s">
        <v>3047</v>
      </c>
      <c r="J47" s="447" t="s"/>
      <c r="K47" s="448" t="s"/>
      <c r="L47" s="445">
        <v>1</v>
      </c>
      <c r="M47" s="446" t="s"/>
    </row>
    <row r="48" spans="1:13" s="481" customFormat="true">
      <c r="A48" s="442" t="s"/>
      <c r="B48" s="442" t="s"/>
      <c r="C48" s="443" t="s">
        <v>3060</v>
      </c>
      <c r="D48" s="443" t="s">
        <v>3060</v>
      </c>
      <c r="E48" s="443" t="s">
        <v>3061</v>
      </c>
      <c r="F48" s="443" t="s">
        <v>12</v>
      </c>
      <c r="G48" s="443" t="s">
        <v>13</v>
      </c>
      <c r="H48" s="443" t="s">
        <v>2987</v>
      </c>
      <c r="I48" s="443" t="s">
        <v>3047</v>
      </c>
      <c r="J48" s="447" t="s"/>
      <c r="K48" s="448" t="s"/>
      <c r="L48" s="445">
        <v>1</v>
      </c>
      <c r="M48" s="446" t="s"/>
    </row>
    <row r="49" spans="1:13" s="454" customFormat="true">
      <c r="A49" s="449" t="s"/>
      <c r="B49" s="449" t="s"/>
      <c r="C49" s="450" t="s">
        <v>1896</v>
      </c>
      <c r="D49" s="450" t="s">
        <v>691</v>
      </c>
      <c r="E49" s="450" t="s">
        <v>49</v>
      </c>
      <c r="F49" s="450" t="s">
        <v>12</v>
      </c>
      <c r="G49" s="450" t="s">
        <v>13</v>
      </c>
      <c r="H49" s="450" t="s">
        <v>2987</v>
      </c>
      <c r="I49" s="450" t="s">
        <v>3062</v>
      </c>
      <c r="J49" s="451" t="s"/>
      <c r="K49" s="452" t="s"/>
      <c r="L49" s="453">
        <v>1</v>
      </c>
      <c r="M49" s="454" t="s"/>
    </row>
    <row r="50" spans="1:13" s="454" customFormat="true">
      <c r="A50" s="449" t="s"/>
      <c r="B50" s="449" t="s"/>
      <c r="C50" s="450" t="s">
        <v>3063</v>
      </c>
      <c r="D50" s="450" t="s">
        <v>1418</v>
      </c>
      <c r="E50" s="450" t="s">
        <v>3063</v>
      </c>
      <c r="F50" s="450" t="s">
        <v>1420</v>
      </c>
      <c r="G50" s="450" t="s">
        <v>13</v>
      </c>
      <c r="H50" s="450" t="s">
        <v>2987</v>
      </c>
      <c r="I50" s="450" t="s">
        <v>3062</v>
      </c>
      <c r="J50" s="451" t="s"/>
      <c r="K50" s="452" t="s"/>
      <c r="L50" s="453">
        <v>1</v>
      </c>
      <c r="M50" s="454" t="s"/>
    </row>
    <row r="51" spans="1:13" s="454" customFormat="true">
      <c r="A51" s="449" t="s"/>
      <c r="B51" s="449" t="s"/>
      <c r="C51" s="450" t="s">
        <v>3064</v>
      </c>
      <c r="D51" s="450" t="s">
        <v>3065</v>
      </c>
      <c r="E51" s="450" t="s">
        <v>3066</v>
      </c>
      <c r="F51" s="450" t="s">
        <v>12</v>
      </c>
      <c r="G51" s="450" t="s">
        <v>13</v>
      </c>
      <c r="H51" s="450" t="s">
        <v>2987</v>
      </c>
      <c r="I51" s="450" t="s">
        <v>3062</v>
      </c>
      <c r="J51" s="451" t="s"/>
      <c r="K51" s="452" t="s"/>
      <c r="L51" s="453">
        <v>1</v>
      </c>
      <c r="M51" s="454" t="s"/>
    </row>
    <row r="52" spans="1:13" s="454" customFormat="true">
      <c r="A52" s="449" t="s"/>
      <c r="B52" s="449" t="s"/>
      <c r="C52" s="450" t="s">
        <v>1916</v>
      </c>
      <c r="D52" s="450" t="s">
        <v>78</v>
      </c>
      <c r="E52" s="450" t="s">
        <v>79</v>
      </c>
      <c r="F52" s="450" t="s">
        <v>12</v>
      </c>
      <c r="G52" s="450" t="s">
        <v>13</v>
      </c>
      <c r="H52" s="450" t="s">
        <v>2987</v>
      </c>
      <c r="I52" s="450" t="s">
        <v>3062</v>
      </c>
      <c r="J52" s="451" t="s"/>
      <c r="K52" s="452" t="s"/>
      <c r="L52" s="453">
        <v>1</v>
      </c>
      <c r="M52" s="454" t="s"/>
    </row>
    <row r="53" spans="1:13" s="454" customFormat="true">
      <c r="A53" s="455" t="s"/>
      <c r="B53" s="455" t="s"/>
      <c r="C53" s="456" t="s">
        <v>1920</v>
      </c>
      <c r="D53" s="456" t="s">
        <v>83</v>
      </c>
      <c r="E53" s="456" t="s">
        <v>84</v>
      </c>
      <c r="F53" s="456" t="s">
        <v>12</v>
      </c>
      <c r="G53" s="456" t="s">
        <v>13</v>
      </c>
      <c r="H53" s="456" t="s">
        <v>2987</v>
      </c>
      <c r="I53" s="456" t="s">
        <v>3062</v>
      </c>
      <c r="J53" s="457" t="s"/>
      <c r="K53" s="458" t="s"/>
      <c r="L53" s="459">
        <v>1</v>
      </c>
      <c r="M53" s="454" t="s"/>
    </row>
    <row r="54" spans="1:13" s="481" customFormat="true">
      <c r="A54" s="442" t="s"/>
      <c r="B54" s="442" t="s"/>
      <c r="C54" s="442" t="s"/>
      <c r="D54" s="442" t="s"/>
      <c r="E54" s="442" t="s"/>
      <c r="F54" s="442" t="s"/>
      <c r="G54" s="442" t="s"/>
      <c r="H54" s="442" t="s"/>
      <c r="I54" s="442" t="s"/>
      <c r="J54" s="460" t="s"/>
      <c r="K54" s="448" t="s"/>
      <c r="L54" s="448" t="s"/>
      <c r="M54" s="446" t="s"/>
    </row>
    <row r="55" spans="1:13" s="481" customFormat="true">
      <c r="A55" s="442" t="s"/>
      <c r="B55" s="442" t="s"/>
      <c r="C55" s="442" t="s"/>
      <c r="D55" s="442" t="s"/>
      <c r="E55" s="442" t="s"/>
      <c r="F55" s="442" t="s"/>
      <c r="G55" s="442" t="s"/>
      <c r="H55" s="442" t="s"/>
      <c r="I55" s="442" t="s"/>
      <c r="J55" s="460" t="s"/>
      <c r="K55" s="448" t="s"/>
      <c r="L55" s="448" t="s"/>
      <c r="M55" s="446" t="s"/>
    </row>
    <row r="56" spans="1:13" s="481" customFormat="true">
      <c r="A56" s="442" t="s"/>
      <c r="B56" s="442" t="s"/>
      <c r="C56" s="442" t="s"/>
      <c r="D56" s="442" t="s"/>
      <c r="E56" s="442" t="s"/>
      <c r="F56" s="442" t="s"/>
      <c r="G56" s="442" t="s"/>
      <c r="H56" s="442" t="s"/>
      <c r="I56" s="442" t="s"/>
      <c r="J56" s="460" t="s"/>
      <c r="K56" s="448" t="s"/>
      <c r="L56" s="448" t="s"/>
      <c r="M56" s="446" t="s"/>
    </row>
    <row r="57" spans="1:13" s="481" customFormat="true">
      <c r="A57" s="442" t="s"/>
      <c r="B57" s="442" t="s"/>
      <c r="C57" s="442" t="s"/>
      <c r="D57" s="442" t="s"/>
      <c r="E57" s="442" t="s"/>
      <c r="F57" s="442" t="s"/>
      <c r="G57" s="442" t="s"/>
      <c r="H57" s="442" t="s"/>
      <c r="I57" s="442" t="s"/>
      <c r="J57" s="460" t="s"/>
      <c r="K57" s="448" t="s"/>
      <c r="L57" s="448" t="s"/>
      <c r="M57" s="446" t="s"/>
    </row>
    <row r="58" spans="1:13" s="481" customFormat="true">
      <c r="A58" s="442" t="s"/>
      <c r="B58" s="442" t="s"/>
      <c r="C58" s="442" t="s"/>
      <c r="D58" s="442" t="s"/>
      <c r="E58" s="442" t="s"/>
      <c r="F58" s="442" t="s"/>
      <c r="G58" s="442" t="s"/>
      <c r="H58" s="442" t="s"/>
      <c r="I58" s="442" t="s"/>
      <c r="J58" s="442" t="s"/>
      <c r="K58" s="448" t="s"/>
      <c r="L58" s="448" t="s"/>
      <c r="M58" s="446" t="s"/>
    </row>
    <row r="59" spans="1:13" s="481" customFormat="true">
      <c r="A59" s="442" t="s"/>
      <c r="B59" s="442" t="s"/>
      <c r="C59" s="443" t="s">
        <v>215</v>
      </c>
      <c r="D59" s="443" t="s">
        <v>2985</v>
      </c>
      <c r="E59" s="443" t="s">
        <v>2986</v>
      </c>
      <c r="F59" s="442" t="s"/>
      <c r="G59" s="443" t="s">
        <v>19</v>
      </c>
      <c r="H59" s="443" t="s">
        <v>3067</v>
      </c>
      <c r="I59" s="442" t="s"/>
      <c r="J59" s="442" t="s"/>
      <c r="K59" s="445">
        <v>1</v>
      </c>
      <c r="L59" s="445">
        <v>1</v>
      </c>
      <c r="M59" s="446" t="s">
        <v>3068</v>
      </c>
    </row>
    <row r="60" spans="1:13" s="481" customFormat="true">
      <c r="A60" s="442" t="s"/>
      <c r="B60" s="444" t="s">
        <v>3069</v>
      </c>
      <c r="C60" s="443" t="s">
        <v>2992</v>
      </c>
      <c r="D60" s="443" t="s">
        <v>2991</v>
      </c>
      <c r="E60" s="443" t="s">
        <v>2992</v>
      </c>
      <c r="F60" s="443" t="s">
        <v>12</v>
      </c>
      <c r="G60" s="443" t="s">
        <v>19</v>
      </c>
      <c r="H60" s="443" t="s">
        <v>3067</v>
      </c>
      <c r="I60" s="442" t="s"/>
      <c r="J60" s="442" t="s"/>
      <c r="K60" s="445">
        <v>1</v>
      </c>
      <c r="L60" s="445">
        <v>1</v>
      </c>
      <c r="M60" s="446" t="s"/>
    </row>
    <row r="61" spans="1:13" s="481" customFormat="true">
      <c r="A61" s="444" t="s">
        <v>3070</v>
      </c>
      <c r="B61" s="444" t="s">
        <v>3071</v>
      </c>
      <c r="C61" s="443" t="s">
        <v>283</v>
      </c>
      <c r="D61" s="443" t="s">
        <v>284</v>
      </c>
      <c r="E61" s="443" t="s">
        <v>285</v>
      </c>
      <c r="F61" s="443" t="s">
        <v>12</v>
      </c>
      <c r="G61" s="443" t="s">
        <v>19</v>
      </c>
      <c r="H61" s="443" t="s">
        <v>3067</v>
      </c>
      <c r="I61" s="443" t="s">
        <v>3072</v>
      </c>
      <c r="J61" s="442" t="s"/>
      <c r="K61" s="445">
        <v>1</v>
      </c>
      <c r="L61" s="445">
        <v>1</v>
      </c>
      <c r="M61" s="446" t="s"/>
    </row>
    <row r="62" spans="1:13" s="481" customFormat="true">
      <c r="A62" s="444" t="s">
        <v>3070</v>
      </c>
      <c r="B62" s="444" t="s">
        <v>3073</v>
      </c>
      <c r="C62" s="443" t="s">
        <v>492</v>
      </c>
      <c r="D62" s="443" t="s">
        <v>3074</v>
      </c>
      <c r="E62" s="443" t="s">
        <v>495</v>
      </c>
      <c r="F62" s="443" t="s">
        <v>119</v>
      </c>
      <c r="G62" s="443" t="s">
        <v>19</v>
      </c>
      <c r="H62" s="443" t="s">
        <v>3067</v>
      </c>
      <c r="I62" s="443" t="s">
        <v>3072</v>
      </c>
      <c r="J62" s="442" t="s"/>
      <c r="K62" s="445">
        <v>1</v>
      </c>
      <c r="L62" s="445">
        <v>1</v>
      </c>
      <c r="M62" s="446" t="s"/>
    </row>
    <row r="63" spans="1:13" s="481" customFormat="true">
      <c r="A63" s="444" t="s">
        <v>3070</v>
      </c>
      <c r="B63" s="443" t="s">
        <v>36</v>
      </c>
      <c r="C63" s="443" t="s">
        <v>281</v>
      </c>
      <c r="D63" s="443" t="s">
        <v>38</v>
      </c>
      <c r="E63" s="443" t="s">
        <v>39</v>
      </c>
      <c r="F63" s="443" t="s">
        <v>12</v>
      </c>
      <c r="G63" s="443" t="s">
        <v>19</v>
      </c>
      <c r="H63" s="443" t="s">
        <v>3067</v>
      </c>
      <c r="I63" s="443" t="s">
        <v>3072</v>
      </c>
      <c r="J63" s="442" t="s"/>
      <c r="K63" s="445">
        <v>1</v>
      </c>
      <c r="L63" s="445">
        <v>1</v>
      </c>
      <c r="M63" s="446" t="s"/>
    </row>
    <row r="64" spans="1:13" s="481" customFormat="true">
      <c r="A64" s="444" t="s">
        <v>3070</v>
      </c>
      <c r="B64" s="444" t="s">
        <v>3075</v>
      </c>
      <c r="C64" s="443" t="s">
        <v>1896</v>
      </c>
      <c r="D64" s="443" t="s">
        <v>691</v>
      </c>
      <c r="E64" s="443" t="s">
        <v>49</v>
      </c>
      <c r="F64" s="443" t="s">
        <v>12</v>
      </c>
      <c r="G64" s="443" t="s">
        <v>19</v>
      </c>
      <c r="H64" s="443" t="s">
        <v>3067</v>
      </c>
      <c r="I64" s="443" t="s">
        <v>3072</v>
      </c>
      <c r="J64" s="442" t="s"/>
      <c r="K64" s="445">
        <v>1</v>
      </c>
      <c r="L64" s="445">
        <v>1</v>
      </c>
      <c r="M64" s="446" t="s"/>
    </row>
    <row r="65" spans="1:13" s="481" customFormat="true">
      <c r="A65" s="444" t="s">
        <v>3070</v>
      </c>
      <c r="B65" s="444" t="s">
        <v>3076</v>
      </c>
      <c r="C65" s="443" t="s">
        <v>1901</v>
      </c>
      <c r="D65" s="443" t="s">
        <v>695</v>
      </c>
      <c r="E65" s="443" t="s">
        <v>1902</v>
      </c>
      <c r="F65" s="443" t="s">
        <v>12</v>
      </c>
      <c r="G65" s="443" t="s">
        <v>19</v>
      </c>
      <c r="H65" s="443" t="s">
        <v>3067</v>
      </c>
      <c r="I65" s="443" t="s">
        <v>3072</v>
      </c>
      <c r="J65" s="442" t="s"/>
      <c r="K65" s="445">
        <v>1</v>
      </c>
      <c r="L65" s="445">
        <v>1</v>
      </c>
      <c r="M65" s="446" t="s"/>
    </row>
    <row r="66" spans="1:13" s="481" customFormat="true">
      <c r="A66" s="444" t="s">
        <v>3070</v>
      </c>
      <c r="B66" s="444" t="s">
        <v>3077</v>
      </c>
      <c r="C66" s="443" t="s">
        <v>1910</v>
      </c>
      <c r="D66" s="443" t="s">
        <v>603</v>
      </c>
      <c r="E66" s="443" t="s">
        <v>604</v>
      </c>
      <c r="F66" s="443" t="s">
        <v>12</v>
      </c>
      <c r="G66" s="443" t="s">
        <v>19</v>
      </c>
      <c r="H66" s="443" t="s">
        <v>3067</v>
      </c>
      <c r="I66" s="443" t="s">
        <v>3072</v>
      </c>
      <c r="J66" s="442" t="s"/>
      <c r="K66" s="445">
        <v>1</v>
      </c>
      <c r="L66" s="445">
        <v>1</v>
      </c>
      <c r="M66" s="446" t="s"/>
    </row>
    <row r="67" spans="1:13" s="481" customFormat="true">
      <c r="A67" s="444" t="s">
        <v>3070</v>
      </c>
      <c r="B67" s="443" t="s">
        <v>76</v>
      </c>
      <c r="C67" s="443" t="s">
        <v>1916</v>
      </c>
      <c r="D67" s="443" t="s">
        <v>78</v>
      </c>
      <c r="E67" s="443" t="s">
        <v>79</v>
      </c>
      <c r="F67" s="443" t="s">
        <v>12</v>
      </c>
      <c r="G67" s="443" t="s">
        <v>19</v>
      </c>
      <c r="H67" s="443" t="s">
        <v>3067</v>
      </c>
      <c r="I67" s="443" t="s">
        <v>3072</v>
      </c>
      <c r="J67" s="442" t="s"/>
      <c r="K67" s="445">
        <v>1</v>
      </c>
      <c r="L67" s="445">
        <v>1</v>
      </c>
      <c r="M67" s="446" t="s"/>
    </row>
    <row r="68" spans="1:13" s="481" customFormat="true">
      <c r="A68" s="444" t="s">
        <v>3070</v>
      </c>
      <c r="B68" s="443" t="s">
        <v>81</v>
      </c>
      <c r="C68" s="443" t="s">
        <v>1920</v>
      </c>
      <c r="D68" s="443" t="s">
        <v>83</v>
      </c>
      <c r="E68" s="443" t="s">
        <v>84</v>
      </c>
      <c r="F68" s="443" t="s">
        <v>12</v>
      </c>
      <c r="G68" s="443" t="s">
        <v>19</v>
      </c>
      <c r="H68" s="443" t="s">
        <v>3067</v>
      </c>
      <c r="I68" s="443" t="s">
        <v>3072</v>
      </c>
      <c r="J68" s="442" t="s"/>
      <c r="K68" s="445">
        <v>1</v>
      </c>
      <c r="L68" s="445">
        <v>1</v>
      </c>
      <c r="M68" s="446" t="s"/>
    </row>
    <row r="69" spans="1:13" s="481" customFormat="true">
      <c r="A69" s="443" t="s">
        <v>599</v>
      </c>
      <c r="B69" s="443" t="s">
        <v>433</v>
      </c>
      <c r="C69" s="443" t="s">
        <v>3078</v>
      </c>
      <c r="D69" s="443" t="s">
        <v>434</v>
      </c>
      <c r="E69" s="443" t="s">
        <v>435</v>
      </c>
      <c r="F69" s="443" t="s">
        <v>12</v>
      </c>
      <c r="G69" s="443" t="s">
        <v>19</v>
      </c>
      <c r="H69" s="443" t="s">
        <v>3067</v>
      </c>
      <c r="I69" s="442" t="s"/>
      <c r="J69" s="442" t="s"/>
      <c r="K69" s="445">
        <v>1</v>
      </c>
      <c r="L69" s="448" t="s"/>
      <c r="M69" s="446" t="s"/>
    </row>
    <row r="70" spans="1:13" s="481" customFormat="true">
      <c r="A70" s="444" t="s">
        <v>3070</v>
      </c>
      <c r="B70" s="444" t="s">
        <v>3079</v>
      </c>
      <c r="C70" s="443" t="s">
        <v>1924</v>
      </c>
      <c r="D70" s="443" t="s">
        <v>1086</v>
      </c>
      <c r="E70" s="443" t="s">
        <v>410</v>
      </c>
      <c r="F70" s="443" t="s">
        <v>12</v>
      </c>
      <c r="G70" s="443" t="s">
        <v>19</v>
      </c>
      <c r="H70" s="443" t="s">
        <v>3067</v>
      </c>
      <c r="I70" s="443" t="s">
        <v>3072</v>
      </c>
      <c r="J70" s="442" t="s"/>
      <c r="K70" s="445">
        <v>1</v>
      </c>
      <c r="L70" s="445">
        <v>1</v>
      </c>
      <c r="M70" s="446" t="s"/>
    </row>
    <row r="71" spans="1:13" s="481" customFormat="true">
      <c r="A71" s="443" t="s">
        <v>599</v>
      </c>
      <c r="B71" s="443" t="s">
        <v>439</v>
      </c>
      <c r="C71" s="443" t="s">
        <v>439</v>
      </c>
      <c r="D71" s="443" t="s">
        <v>3080</v>
      </c>
      <c r="E71" s="443" t="s">
        <v>439</v>
      </c>
      <c r="F71" s="443" t="s">
        <v>99</v>
      </c>
      <c r="G71" s="443" t="s">
        <v>19</v>
      </c>
      <c r="H71" s="443" t="s">
        <v>3067</v>
      </c>
      <c r="I71" s="442" t="s"/>
      <c r="J71" s="442" t="s"/>
      <c r="K71" s="445">
        <v>1</v>
      </c>
      <c r="L71" s="448" t="s"/>
      <c r="M71" s="446" t="s"/>
    </row>
    <row r="72" spans="1:13" s="481" customFormat="true">
      <c r="A72" s="443" t="s">
        <v>3081</v>
      </c>
      <c r="B72" s="443" t="s">
        <v>391</v>
      </c>
      <c r="C72" s="443" t="s">
        <v>1884</v>
      </c>
      <c r="D72" s="443" t="s">
        <v>278</v>
      </c>
      <c r="E72" s="443" t="s">
        <v>279</v>
      </c>
      <c r="F72" s="443" t="s">
        <v>12</v>
      </c>
      <c r="G72" s="443" t="s">
        <v>19</v>
      </c>
      <c r="H72" s="443" t="s">
        <v>3067</v>
      </c>
      <c r="I72" s="443" t="s">
        <v>3072</v>
      </c>
      <c r="J72" s="442" t="s"/>
      <c r="K72" s="448" t="s"/>
      <c r="L72" s="445">
        <v>1</v>
      </c>
      <c r="M72" s="446" t="s"/>
    </row>
    <row r="73" spans="1:13" s="481" customFormat="true">
      <c r="A73" s="443" t="s">
        <v>3081</v>
      </c>
      <c r="B73" s="443" t="s">
        <v>417</v>
      </c>
      <c r="C73" s="443" t="s">
        <v>3064</v>
      </c>
      <c r="D73" s="443" t="s">
        <v>3065</v>
      </c>
      <c r="E73" s="443" t="s">
        <v>3066</v>
      </c>
      <c r="F73" s="443" t="s">
        <v>12</v>
      </c>
      <c r="G73" s="443" t="s">
        <v>19</v>
      </c>
      <c r="H73" s="443" t="s">
        <v>3067</v>
      </c>
      <c r="I73" s="443" t="s">
        <v>3072</v>
      </c>
      <c r="J73" s="442" t="s"/>
      <c r="K73" s="448" t="s"/>
      <c r="L73" s="445">
        <v>1</v>
      </c>
      <c r="M73" s="446" t="s"/>
    </row>
    <row r="74" spans="1:13" s="481" customFormat="true">
      <c r="A74" s="443" t="s">
        <v>3081</v>
      </c>
      <c r="B74" s="443" t="s">
        <v>463</v>
      </c>
      <c r="C74" s="443" t="s">
        <v>463</v>
      </c>
      <c r="D74" s="443" t="s">
        <v>235</v>
      </c>
      <c r="E74" s="443" t="s">
        <v>236</v>
      </c>
      <c r="F74" s="443" t="s">
        <v>12</v>
      </c>
      <c r="G74" s="443" t="s">
        <v>19</v>
      </c>
      <c r="H74" s="443" t="s">
        <v>3067</v>
      </c>
      <c r="I74" s="443" t="s">
        <v>3072</v>
      </c>
      <c r="J74" s="442" t="s"/>
      <c r="K74" s="448" t="s"/>
      <c r="L74" s="445">
        <v>1</v>
      </c>
      <c r="M74" s="446" t="s"/>
    </row>
    <row r="75" spans="1:13" s="481" customFormat="true">
      <c r="A75" s="443" t="s">
        <v>3081</v>
      </c>
      <c r="B75" s="443" t="s">
        <v>3063</v>
      </c>
      <c r="C75" s="443" t="s">
        <v>3063</v>
      </c>
      <c r="D75" s="443" t="s">
        <v>1418</v>
      </c>
      <c r="E75" s="443" t="s">
        <v>3063</v>
      </c>
      <c r="F75" s="443" t="s">
        <v>1420</v>
      </c>
      <c r="G75" s="443" t="s">
        <v>19</v>
      </c>
      <c r="H75" s="443" t="s">
        <v>3067</v>
      </c>
      <c r="I75" s="443" t="s">
        <v>3072</v>
      </c>
      <c r="J75" s="442" t="s"/>
      <c r="K75" s="448" t="s"/>
      <c r="L75" s="445">
        <v>1</v>
      </c>
      <c r="M75" s="446" t="s">
        <v>3082</v>
      </c>
    </row>
    <row r="76" spans="1:13" s="481" customFormat="true">
      <c r="A76" s="442" t="s"/>
      <c r="B76" s="443" t="s">
        <v>1553</v>
      </c>
      <c r="C76" s="443" t="s">
        <v>3083</v>
      </c>
      <c r="D76" s="443" t="s">
        <v>3083</v>
      </c>
      <c r="E76" s="443" t="s">
        <v>3084</v>
      </c>
      <c r="F76" s="443" t="s">
        <v>258</v>
      </c>
      <c r="G76" s="443" t="s">
        <v>19</v>
      </c>
      <c r="H76" s="443" t="s">
        <v>3067</v>
      </c>
      <c r="I76" s="443" t="s">
        <v>3085</v>
      </c>
      <c r="J76" s="442" t="s"/>
      <c r="K76" s="448" t="s"/>
      <c r="L76" s="445">
        <v>1</v>
      </c>
      <c r="M76" s="461" t="s">
        <v>3086</v>
      </c>
    </row>
    <row r="77" spans="1:13" s="481" customFormat="true">
      <c r="A77" s="442" t="s"/>
      <c r="B77" s="443" t="s">
        <v>1553</v>
      </c>
      <c r="C77" s="443" t="s">
        <v>3087</v>
      </c>
      <c r="D77" s="443" t="s">
        <v>3087</v>
      </c>
      <c r="E77" s="443" t="s">
        <v>3088</v>
      </c>
      <c r="F77" s="443" t="s">
        <v>99</v>
      </c>
      <c r="G77" s="443" t="s">
        <v>19</v>
      </c>
      <c r="H77" s="443" t="s">
        <v>3067</v>
      </c>
      <c r="I77" s="443" t="s">
        <v>3085</v>
      </c>
      <c r="J77" s="442" t="s"/>
      <c r="K77" s="448" t="s"/>
      <c r="L77" s="445">
        <v>1</v>
      </c>
      <c r="M77" s="446" t="s"/>
    </row>
    <row r="78" spans="1:13" s="481" customFormat="true">
      <c r="A78" s="442" t="s"/>
      <c r="B78" s="443" t="s">
        <v>463</v>
      </c>
      <c r="C78" s="443" t="s">
        <v>3089</v>
      </c>
      <c r="D78" s="443" t="s">
        <v>3089</v>
      </c>
      <c r="E78" s="443" t="s">
        <v>3090</v>
      </c>
      <c r="F78" s="443" t="s">
        <v>258</v>
      </c>
      <c r="G78" s="443" t="s">
        <v>19</v>
      </c>
      <c r="H78" s="443" t="s">
        <v>3067</v>
      </c>
      <c r="I78" s="443" t="s">
        <v>3085</v>
      </c>
      <c r="J78" s="442" t="s"/>
      <c r="K78" s="448" t="s"/>
      <c r="L78" s="445">
        <v>1</v>
      </c>
      <c r="M78" s="446" t="s"/>
    </row>
    <row r="79" spans="1:13" s="481" customFormat="true">
      <c r="A79" s="442" t="s"/>
      <c r="B79" s="443" t="s">
        <v>3091</v>
      </c>
      <c r="C79" s="443" t="s">
        <v>1695</v>
      </c>
      <c r="D79" s="443" t="s">
        <v>1695</v>
      </c>
      <c r="E79" s="443" t="s">
        <v>1696</v>
      </c>
      <c r="F79" s="443" t="s">
        <v>99</v>
      </c>
      <c r="G79" s="443" t="s">
        <v>19</v>
      </c>
      <c r="H79" s="443" t="s">
        <v>3067</v>
      </c>
      <c r="I79" s="443" t="s">
        <v>3085</v>
      </c>
      <c r="J79" s="442" t="s"/>
      <c r="K79" s="448" t="s"/>
      <c r="L79" s="445">
        <v>1</v>
      </c>
      <c r="M79" s="446" t="s"/>
    </row>
    <row r="80" spans="1:13" s="481" customFormat="true">
      <c r="A80" s="442" t="s"/>
      <c r="B80" s="443" t="s">
        <v>3092</v>
      </c>
      <c r="C80" s="443" t="s">
        <v>3093</v>
      </c>
      <c r="D80" s="443" t="s">
        <v>3093</v>
      </c>
      <c r="E80" s="443" t="s">
        <v>3094</v>
      </c>
      <c r="F80" s="443" t="s">
        <v>99</v>
      </c>
      <c r="G80" s="443" t="s">
        <v>19</v>
      </c>
      <c r="H80" s="443" t="s">
        <v>3067</v>
      </c>
      <c r="I80" s="443" t="s">
        <v>3085</v>
      </c>
      <c r="J80" s="442" t="s"/>
      <c r="K80" s="448" t="s"/>
      <c r="L80" s="445">
        <v>1</v>
      </c>
      <c r="M80" s="446" t="s"/>
    </row>
    <row r="81" spans="1:13" s="481" customFormat="true">
      <c r="A81" s="442" t="s"/>
      <c r="B81" s="442" t="s"/>
      <c r="C81" s="443" t="s">
        <v>3095</v>
      </c>
      <c r="D81" s="443" t="s">
        <v>3096</v>
      </c>
      <c r="E81" s="443" t="s">
        <v>3097</v>
      </c>
      <c r="F81" s="443" t="s">
        <v>258</v>
      </c>
      <c r="G81" s="443" t="s">
        <v>19</v>
      </c>
      <c r="H81" s="443" t="s">
        <v>3067</v>
      </c>
      <c r="I81" s="443" t="s">
        <v>3098</v>
      </c>
      <c r="J81" s="447" t="s"/>
      <c r="K81" s="448" t="s"/>
      <c r="L81" s="445">
        <v>1</v>
      </c>
      <c r="M81" s="446" t="s"/>
    </row>
    <row r="82" spans="1:13" s="481" customFormat="true">
      <c r="A82" s="442" t="s"/>
      <c r="B82" s="442" t="s"/>
      <c r="C82" s="443" t="s">
        <v>506</v>
      </c>
      <c r="D82" s="443" t="s">
        <v>3099</v>
      </c>
      <c r="E82" s="443" t="s">
        <v>3100</v>
      </c>
      <c r="F82" s="443" t="s">
        <v>119</v>
      </c>
      <c r="G82" s="443" t="s">
        <v>19</v>
      </c>
      <c r="H82" s="443" t="s">
        <v>3067</v>
      </c>
      <c r="I82" s="443" t="s">
        <v>3098</v>
      </c>
      <c r="J82" s="447" t="s"/>
      <c r="K82" s="448" t="s"/>
      <c r="L82" s="445">
        <v>1</v>
      </c>
      <c r="M82" s="446" t="s"/>
    </row>
    <row r="83" spans="1:13" s="481" customFormat="true">
      <c r="A83" s="442" t="s"/>
      <c r="B83" s="442" t="s"/>
      <c r="C83" s="443" t="s">
        <v>3101</v>
      </c>
      <c r="D83" s="443" t="s">
        <v>3102</v>
      </c>
      <c r="E83" s="443" t="s">
        <v>3103</v>
      </c>
      <c r="F83" s="443" t="s">
        <v>258</v>
      </c>
      <c r="G83" s="443" t="s">
        <v>19</v>
      </c>
      <c r="H83" s="443" t="s">
        <v>3067</v>
      </c>
      <c r="I83" s="443" t="s">
        <v>3104</v>
      </c>
      <c r="J83" s="447" t="s"/>
      <c r="K83" s="448" t="s"/>
      <c r="L83" s="445">
        <v>1</v>
      </c>
      <c r="M83" s="446" t="s"/>
    </row>
    <row r="84" spans="1:13" s="481" customFormat="true">
      <c r="A84" s="442" t="s"/>
      <c r="B84" s="442" t="s"/>
      <c r="C84" s="443" t="s">
        <v>3105</v>
      </c>
      <c r="D84" s="443" t="s">
        <v>3105</v>
      </c>
      <c r="E84" s="443" t="s">
        <v>3106</v>
      </c>
      <c r="F84" s="443" t="s">
        <v>119</v>
      </c>
      <c r="G84" s="443" t="s">
        <v>19</v>
      </c>
      <c r="H84" s="443" t="s">
        <v>3067</v>
      </c>
      <c r="I84" s="443" t="s">
        <v>3104</v>
      </c>
      <c r="J84" s="447" t="s"/>
      <c r="K84" s="448" t="s"/>
      <c r="L84" s="445">
        <v>1</v>
      </c>
      <c r="M84" s="446" t="s"/>
    </row>
    <row r="85" spans="1:13" s="481" customFormat="true">
      <c r="A85" s="442" t="s"/>
      <c r="B85" s="442" t="s"/>
      <c r="C85" s="443" t="s">
        <v>1800</v>
      </c>
      <c r="D85" s="443" t="s">
        <v>3107</v>
      </c>
      <c r="E85" s="443" t="s">
        <v>3108</v>
      </c>
      <c r="F85" s="443" t="s">
        <v>12</v>
      </c>
      <c r="G85" s="443" t="s">
        <v>19</v>
      </c>
      <c r="H85" s="443" t="s">
        <v>3067</v>
      </c>
      <c r="I85" s="443" t="s">
        <v>3104</v>
      </c>
      <c r="J85" s="447" t="s"/>
      <c r="K85" s="448" t="s"/>
      <c r="L85" s="445">
        <v>1</v>
      </c>
      <c r="M85" s="446" t="s"/>
    </row>
    <row r="86" spans="1:13" s="481" customFormat="true">
      <c r="A86" s="442" t="s"/>
      <c r="B86" s="442" t="s"/>
      <c r="C86" s="443" t="s">
        <v>3019</v>
      </c>
      <c r="D86" s="443" t="s">
        <v>3019</v>
      </c>
      <c r="E86" s="443" t="s">
        <v>3020</v>
      </c>
      <c r="F86" s="443" t="s">
        <v>12</v>
      </c>
      <c r="G86" s="443" t="s">
        <v>19</v>
      </c>
      <c r="H86" s="443" t="s">
        <v>3067</v>
      </c>
      <c r="I86" s="443" t="s">
        <v>3109</v>
      </c>
      <c r="J86" s="447" t="s"/>
      <c r="K86" s="445">
        <v>1</v>
      </c>
      <c r="L86" s="445">
        <v>1</v>
      </c>
      <c r="M86" s="446" t="s"/>
    </row>
    <row r="87" spans="1:13" s="481" customFormat="true">
      <c r="A87" s="442" t="s"/>
      <c r="B87" s="442" t="s"/>
      <c r="C87" s="443" t="s">
        <v>3022</v>
      </c>
      <c r="D87" s="443" t="s">
        <v>3022</v>
      </c>
      <c r="E87" s="443" t="s">
        <v>3023</v>
      </c>
      <c r="F87" s="443" t="s">
        <v>12</v>
      </c>
      <c r="G87" s="443" t="s">
        <v>19</v>
      </c>
      <c r="H87" s="443" t="s">
        <v>3067</v>
      </c>
      <c r="I87" s="443" t="s">
        <v>3109</v>
      </c>
      <c r="J87" s="447" t="s"/>
      <c r="K87" s="445">
        <v>1</v>
      </c>
      <c r="L87" s="445">
        <v>1</v>
      </c>
      <c r="M87" s="446" t="s"/>
    </row>
    <row r="88" spans="1:13" s="481" customFormat="true">
      <c r="A88" s="442" t="s"/>
      <c r="B88" s="442" t="s"/>
      <c r="C88" s="443" t="s">
        <v>3024</v>
      </c>
      <c r="D88" s="443" t="s">
        <v>3024</v>
      </c>
      <c r="E88" s="443" t="s">
        <v>3025</v>
      </c>
      <c r="F88" s="443" t="s">
        <v>12</v>
      </c>
      <c r="G88" s="443" t="s">
        <v>19</v>
      </c>
      <c r="H88" s="443" t="s">
        <v>3067</v>
      </c>
      <c r="I88" s="443" t="s">
        <v>3109</v>
      </c>
      <c r="J88" s="447" t="s"/>
      <c r="K88" s="445">
        <v>1</v>
      </c>
      <c r="L88" s="445">
        <v>1</v>
      </c>
      <c r="M88" s="446" t="s"/>
    </row>
    <row r="89" spans="1:13" s="481" customFormat="true">
      <c r="A89" s="442" t="s"/>
      <c r="B89" s="442" t="s"/>
      <c r="C89" s="443" t="s">
        <v>506</v>
      </c>
      <c r="D89" s="443" t="s">
        <v>3026</v>
      </c>
      <c r="E89" s="443" t="s">
        <v>3027</v>
      </c>
      <c r="F89" s="443" t="s">
        <v>119</v>
      </c>
      <c r="G89" s="443" t="s">
        <v>19</v>
      </c>
      <c r="H89" s="443" t="s">
        <v>3067</v>
      </c>
      <c r="I89" s="443" t="s">
        <v>3109</v>
      </c>
      <c r="J89" s="447" t="s"/>
      <c r="K89" s="445">
        <v>1</v>
      </c>
      <c r="L89" s="445">
        <v>1</v>
      </c>
      <c r="M89" s="446" t="s"/>
    </row>
    <row r="90" spans="1:13" s="481" customFormat="true">
      <c r="A90" s="442" t="s"/>
      <c r="B90" s="442" t="s"/>
      <c r="C90" s="443" t="s">
        <v>3110</v>
      </c>
      <c r="D90" s="443" t="s">
        <v>3111</v>
      </c>
      <c r="E90" s="443" t="s">
        <v>3112</v>
      </c>
      <c r="F90" s="443" t="s">
        <v>99</v>
      </c>
      <c r="G90" s="443" t="s">
        <v>19</v>
      </c>
      <c r="H90" s="443" t="s">
        <v>3067</v>
      </c>
      <c r="I90" s="443" t="s">
        <v>3113</v>
      </c>
      <c r="J90" s="447" t="s"/>
      <c r="K90" s="445">
        <v>1</v>
      </c>
      <c r="L90" s="445">
        <v>1</v>
      </c>
      <c r="M90" s="446" t="s"/>
    </row>
    <row r="91" spans="1:13" s="481" customFormat="true">
      <c r="A91" s="442" t="s"/>
      <c r="B91" s="442" t="s"/>
      <c r="C91" s="443" t="s">
        <v>3114</v>
      </c>
      <c r="D91" s="443" t="s">
        <v>3115</v>
      </c>
      <c r="E91" s="443" t="s">
        <v>3116</v>
      </c>
      <c r="F91" s="443" t="s">
        <v>99</v>
      </c>
      <c r="G91" s="443" t="s">
        <v>19</v>
      </c>
      <c r="H91" s="443" t="s">
        <v>3067</v>
      </c>
      <c r="I91" s="443" t="s">
        <v>3113</v>
      </c>
      <c r="J91" s="447" t="s"/>
      <c r="K91" s="445">
        <v>1</v>
      </c>
      <c r="L91" s="445">
        <v>1</v>
      </c>
      <c r="M91" s="446" t="s"/>
    </row>
    <row r="92" spans="1:13" s="481" customFormat="true">
      <c r="A92" s="442" t="s"/>
      <c r="B92" s="442" t="s"/>
      <c r="C92" s="443" t="s">
        <v>3117</v>
      </c>
      <c r="D92" s="443" t="s">
        <v>3118</v>
      </c>
      <c r="E92" s="443" t="s">
        <v>3119</v>
      </c>
      <c r="F92" s="443" t="s">
        <v>99</v>
      </c>
      <c r="G92" s="443" t="s">
        <v>19</v>
      </c>
      <c r="H92" s="443" t="s">
        <v>3067</v>
      </c>
      <c r="I92" s="443" t="s">
        <v>3113</v>
      </c>
      <c r="J92" s="447" t="s"/>
      <c r="K92" s="445">
        <v>1</v>
      </c>
      <c r="L92" s="445">
        <v>1</v>
      </c>
      <c r="M92" s="446" t="s"/>
    </row>
    <row r="93" spans="1:13" s="481" customFormat="true">
      <c r="A93" s="442" t="s"/>
      <c r="B93" s="442" t="s"/>
      <c r="C93" s="443" t="s">
        <v>3120</v>
      </c>
      <c r="D93" s="443" t="s">
        <v>3121</v>
      </c>
      <c r="E93" s="443" t="s">
        <v>3122</v>
      </c>
      <c r="F93" s="443" t="s">
        <v>99</v>
      </c>
      <c r="G93" s="443" t="s">
        <v>19</v>
      </c>
      <c r="H93" s="443" t="s">
        <v>3067</v>
      </c>
      <c r="I93" s="443" t="s">
        <v>3113</v>
      </c>
      <c r="J93" s="447" t="s"/>
      <c r="K93" s="445">
        <v>1</v>
      </c>
      <c r="L93" s="445">
        <v>1</v>
      </c>
      <c r="M93" s="446" t="s"/>
    </row>
    <row r="94" spans="1:13" s="481" customFormat="true">
      <c r="A94" s="442" t="s"/>
      <c r="B94" s="442" t="s"/>
      <c r="C94" s="443" t="s">
        <v>3123</v>
      </c>
      <c r="D94" s="443" t="s">
        <v>3124</v>
      </c>
      <c r="E94" s="443" t="s">
        <v>3125</v>
      </c>
      <c r="F94" s="443" t="s">
        <v>99</v>
      </c>
      <c r="G94" s="443" t="s">
        <v>19</v>
      </c>
      <c r="H94" s="443" t="s">
        <v>3067</v>
      </c>
      <c r="I94" s="443" t="s">
        <v>3113</v>
      </c>
      <c r="J94" s="447" t="s"/>
      <c r="K94" s="445">
        <v>1</v>
      </c>
      <c r="L94" s="445">
        <v>1</v>
      </c>
      <c r="M94" s="446" t="s"/>
    </row>
    <row r="95" spans="1:13" s="481" customFormat="true">
      <c r="A95" s="442" t="s"/>
      <c r="B95" s="442" t="s"/>
      <c r="C95" s="443" t="s">
        <v>3126</v>
      </c>
      <c r="D95" s="443" t="s">
        <v>3127</v>
      </c>
      <c r="E95" s="443" t="s">
        <v>3128</v>
      </c>
      <c r="F95" s="443" t="s">
        <v>258</v>
      </c>
      <c r="G95" s="443" t="s">
        <v>19</v>
      </c>
      <c r="H95" s="443" t="s">
        <v>3067</v>
      </c>
      <c r="I95" s="443" t="s">
        <v>3113</v>
      </c>
      <c r="J95" s="447" t="s"/>
      <c r="K95" s="445">
        <v>1</v>
      </c>
      <c r="L95" s="445">
        <v>1</v>
      </c>
      <c r="M95" s="446" t="s"/>
    </row>
    <row r="96" spans="1:13" s="481" customFormat="true">
      <c r="A96" s="442" t="s"/>
      <c r="B96" s="442" t="s"/>
      <c r="C96" s="443" t="s">
        <v>3129</v>
      </c>
      <c r="D96" s="443" t="s">
        <v>3130</v>
      </c>
      <c r="E96" s="443" t="s">
        <v>3131</v>
      </c>
      <c r="F96" s="443" t="s">
        <v>99</v>
      </c>
      <c r="G96" s="443" t="s">
        <v>19</v>
      </c>
      <c r="H96" s="443" t="s">
        <v>3067</v>
      </c>
      <c r="I96" s="443" t="s">
        <v>3113</v>
      </c>
      <c r="J96" s="447" t="s"/>
      <c r="K96" s="445">
        <v>1</v>
      </c>
      <c r="L96" s="445">
        <v>1</v>
      </c>
      <c r="M96" s="446" t="s"/>
    </row>
    <row r="97" spans="1:13" s="481" customFormat="true">
      <c r="A97" s="442" t="s"/>
      <c r="B97" s="442" t="s"/>
      <c r="C97" s="443" t="s">
        <v>3132</v>
      </c>
      <c r="D97" s="443" t="s">
        <v>3133</v>
      </c>
      <c r="E97" s="443" t="s">
        <v>3134</v>
      </c>
      <c r="F97" s="443" t="s">
        <v>12</v>
      </c>
      <c r="G97" s="443" t="s">
        <v>19</v>
      </c>
      <c r="H97" s="443" t="s">
        <v>3067</v>
      </c>
      <c r="I97" s="443" t="s">
        <v>3113</v>
      </c>
      <c r="J97" s="447" t="s"/>
      <c r="K97" s="445">
        <v>1</v>
      </c>
      <c r="L97" s="445">
        <v>1</v>
      </c>
      <c r="M97" s="446" t="s"/>
    </row>
    <row r="98" spans="1:13" s="481" customFormat="true">
      <c r="A98" s="442" t="s"/>
      <c r="B98" s="442" t="s"/>
      <c r="C98" s="443" t="s">
        <v>3135</v>
      </c>
      <c r="D98" s="443" t="s">
        <v>3136</v>
      </c>
      <c r="E98" s="443" t="s">
        <v>3137</v>
      </c>
      <c r="F98" s="443" t="s">
        <v>99</v>
      </c>
      <c r="G98" s="443" t="s">
        <v>19</v>
      </c>
      <c r="H98" s="443" t="s">
        <v>3067</v>
      </c>
      <c r="I98" s="443" t="s">
        <v>3138</v>
      </c>
      <c r="J98" s="447" t="s"/>
      <c r="K98" s="445">
        <v>1</v>
      </c>
      <c r="L98" s="445">
        <v>1</v>
      </c>
      <c r="M98" s="446" t="s"/>
    </row>
    <row r="99" spans="1:13" s="481" customFormat="true">
      <c r="A99" s="442" t="s"/>
      <c r="B99" s="442" t="s"/>
      <c r="C99" s="443" t="s">
        <v>3139</v>
      </c>
      <c r="D99" s="443" t="s">
        <v>3140</v>
      </c>
      <c r="E99" s="443" t="s">
        <v>3141</v>
      </c>
      <c r="F99" s="443" t="s">
        <v>99</v>
      </c>
      <c r="G99" s="443" t="s">
        <v>19</v>
      </c>
      <c r="H99" s="443" t="s">
        <v>3067</v>
      </c>
      <c r="I99" s="443" t="s">
        <v>3138</v>
      </c>
      <c r="J99" s="447" t="s"/>
      <c r="K99" s="445">
        <v>1</v>
      </c>
      <c r="L99" s="445">
        <v>1</v>
      </c>
      <c r="M99" s="446" t="s"/>
    </row>
    <row r="100" spans="1:13" s="481" customFormat="true">
      <c r="A100" s="442" t="s"/>
      <c r="B100" s="442" t="s"/>
      <c r="C100" s="443" t="s">
        <v>3142</v>
      </c>
      <c r="D100" s="443" t="s">
        <v>3143</v>
      </c>
      <c r="E100" s="443" t="s">
        <v>3144</v>
      </c>
      <c r="F100" s="443" t="s">
        <v>99</v>
      </c>
      <c r="G100" s="443" t="s">
        <v>19</v>
      </c>
      <c r="H100" s="443" t="s">
        <v>3067</v>
      </c>
      <c r="I100" s="443" t="s">
        <v>3138</v>
      </c>
      <c r="J100" s="447" t="s"/>
      <c r="K100" s="445">
        <v>1</v>
      </c>
      <c r="L100" s="445">
        <v>1</v>
      </c>
      <c r="M100" s="446" t="s"/>
    </row>
    <row r="101" spans="1:13" s="481" customFormat="true">
      <c r="A101" s="442" t="s"/>
      <c r="B101" s="442" t="s"/>
      <c r="C101" s="443" t="s">
        <v>3145</v>
      </c>
      <c r="D101" s="443" t="s">
        <v>3146</v>
      </c>
      <c r="E101" s="443" t="s">
        <v>3147</v>
      </c>
      <c r="F101" s="443" t="s">
        <v>99</v>
      </c>
      <c r="G101" s="443" t="s">
        <v>19</v>
      </c>
      <c r="H101" s="443" t="s">
        <v>3067</v>
      </c>
      <c r="I101" s="443" t="s">
        <v>3138</v>
      </c>
      <c r="J101" s="447" t="s"/>
      <c r="K101" s="445">
        <v>1</v>
      </c>
      <c r="L101" s="445">
        <v>1</v>
      </c>
      <c r="M101" s="446" t="s"/>
    </row>
    <row r="102" spans="1:13" s="481" customFormat="true">
      <c r="A102" s="442" t="s"/>
      <c r="B102" s="442" t="s"/>
      <c r="C102" s="443" t="s">
        <v>3148</v>
      </c>
      <c r="D102" s="443" t="s">
        <v>3149</v>
      </c>
      <c r="E102" s="443" t="s">
        <v>3150</v>
      </c>
      <c r="F102" s="443" t="s">
        <v>99</v>
      </c>
      <c r="G102" s="443" t="s">
        <v>19</v>
      </c>
      <c r="H102" s="443" t="s">
        <v>3067</v>
      </c>
      <c r="I102" s="443" t="s">
        <v>3138</v>
      </c>
      <c r="J102" s="447" t="s"/>
      <c r="K102" s="445">
        <v>1</v>
      </c>
      <c r="L102" s="445">
        <v>1</v>
      </c>
      <c r="M102" s="446" t="s"/>
    </row>
    <row r="103" spans="1:13" s="481" customFormat="true">
      <c r="A103" s="442" t="s"/>
      <c r="B103" s="442" t="s"/>
      <c r="C103" s="443" t="s">
        <v>3151</v>
      </c>
      <c r="D103" s="443" t="s">
        <v>3152</v>
      </c>
      <c r="E103" s="443" t="s">
        <v>3153</v>
      </c>
      <c r="F103" s="443" t="s">
        <v>258</v>
      </c>
      <c r="G103" s="443" t="s">
        <v>19</v>
      </c>
      <c r="H103" s="443" t="s">
        <v>3067</v>
      </c>
      <c r="I103" s="443" t="s">
        <v>3138</v>
      </c>
      <c r="J103" s="447" t="s"/>
      <c r="K103" s="445">
        <v>1</v>
      </c>
      <c r="L103" s="445">
        <v>1</v>
      </c>
      <c r="M103" s="446" t="s"/>
    </row>
    <row r="104" spans="1:13" s="481" customFormat="true">
      <c r="A104" s="442" t="s"/>
      <c r="B104" s="442" t="s"/>
      <c r="C104" s="443" t="s">
        <v>3154</v>
      </c>
      <c r="D104" s="443" t="s">
        <v>3155</v>
      </c>
      <c r="E104" s="443" t="s">
        <v>3156</v>
      </c>
      <c r="F104" s="443" t="s">
        <v>99</v>
      </c>
      <c r="G104" s="443" t="s">
        <v>19</v>
      </c>
      <c r="H104" s="443" t="s">
        <v>3067</v>
      </c>
      <c r="I104" s="443" t="s">
        <v>3138</v>
      </c>
      <c r="J104" s="447" t="s"/>
      <c r="K104" s="445">
        <v>1</v>
      </c>
      <c r="L104" s="445">
        <v>1</v>
      </c>
      <c r="M104" s="446" t="s"/>
    </row>
    <row r="105" spans="1:13" s="481" customFormat="true">
      <c r="A105" s="442" t="s"/>
      <c r="B105" s="442" t="s"/>
      <c r="C105" s="443" t="s">
        <v>3157</v>
      </c>
      <c r="D105" s="443" t="s">
        <v>3158</v>
      </c>
      <c r="E105" s="443" t="s">
        <v>3159</v>
      </c>
      <c r="F105" s="443" t="s">
        <v>12</v>
      </c>
      <c r="G105" s="443" t="s">
        <v>19</v>
      </c>
      <c r="H105" s="443" t="s">
        <v>3067</v>
      </c>
      <c r="I105" s="443" t="s">
        <v>3138</v>
      </c>
      <c r="J105" s="447" t="s"/>
      <c r="K105" s="445">
        <v>1</v>
      </c>
      <c r="L105" s="445">
        <v>1</v>
      </c>
      <c r="M105" s="446" t="s"/>
    </row>
    <row r="106" spans="1:13" s="481" customFormat="true">
      <c r="A106" s="442" t="s"/>
      <c r="B106" s="442" t="s"/>
      <c r="C106" s="443" t="s">
        <v>3160</v>
      </c>
      <c r="D106" s="443" t="s">
        <v>3161</v>
      </c>
      <c r="E106" s="443" t="s">
        <v>3162</v>
      </c>
      <c r="F106" s="443" t="s">
        <v>99</v>
      </c>
      <c r="G106" s="443" t="s">
        <v>19</v>
      </c>
      <c r="H106" s="443" t="s">
        <v>3067</v>
      </c>
      <c r="I106" s="443" t="s">
        <v>3163</v>
      </c>
      <c r="J106" s="447" t="s"/>
      <c r="K106" s="445">
        <v>1</v>
      </c>
      <c r="L106" s="445">
        <v>1</v>
      </c>
      <c r="M106" s="446" t="s"/>
    </row>
    <row r="107" spans="1:13" s="481" customFormat="true">
      <c r="A107" s="442" t="s"/>
      <c r="B107" s="442" t="s"/>
      <c r="C107" s="443" t="s">
        <v>3164</v>
      </c>
      <c r="D107" s="443" t="s">
        <v>3165</v>
      </c>
      <c r="E107" s="443" t="s">
        <v>3166</v>
      </c>
      <c r="F107" s="443" t="s">
        <v>99</v>
      </c>
      <c r="G107" s="443" t="s">
        <v>19</v>
      </c>
      <c r="H107" s="443" t="s">
        <v>3067</v>
      </c>
      <c r="I107" s="443" t="s">
        <v>3163</v>
      </c>
      <c r="J107" s="447" t="s"/>
      <c r="K107" s="445">
        <v>1</v>
      </c>
      <c r="L107" s="445">
        <v>1</v>
      </c>
      <c r="M107" s="446" t="s"/>
    </row>
    <row r="108" spans="1:13" s="481" customFormat="true">
      <c r="A108" s="442" t="s"/>
      <c r="B108" s="442" t="s"/>
      <c r="C108" s="443" t="s">
        <v>3167</v>
      </c>
      <c r="D108" s="443" t="s">
        <v>3168</v>
      </c>
      <c r="E108" s="443" t="s">
        <v>3169</v>
      </c>
      <c r="F108" s="443" t="s">
        <v>99</v>
      </c>
      <c r="G108" s="443" t="s">
        <v>19</v>
      </c>
      <c r="H108" s="443" t="s">
        <v>3067</v>
      </c>
      <c r="I108" s="443" t="s">
        <v>3163</v>
      </c>
      <c r="J108" s="447" t="s"/>
      <c r="K108" s="445">
        <v>1</v>
      </c>
      <c r="L108" s="445">
        <v>1</v>
      </c>
      <c r="M108" s="446" t="s"/>
    </row>
    <row r="109" spans="1:13" s="481" customFormat="true">
      <c r="A109" s="442" t="s"/>
      <c r="B109" s="442" t="s"/>
      <c r="C109" s="443" t="s">
        <v>3170</v>
      </c>
      <c r="D109" s="443" t="s">
        <v>3171</v>
      </c>
      <c r="E109" s="443" t="s">
        <v>3172</v>
      </c>
      <c r="F109" s="443" t="s">
        <v>99</v>
      </c>
      <c r="G109" s="443" t="s">
        <v>19</v>
      </c>
      <c r="H109" s="443" t="s">
        <v>3067</v>
      </c>
      <c r="I109" s="443" t="s">
        <v>3163</v>
      </c>
      <c r="J109" s="447" t="s"/>
      <c r="K109" s="445">
        <v>1</v>
      </c>
      <c r="L109" s="445">
        <v>1</v>
      </c>
      <c r="M109" s="446" t="s"/>
    </row>
    <row r="110" spans="1:13" s="481" customFormat="true">
      <c r="A110" s="442" t="s"/>
      <c r="B110" s="442" t="s"/>
      <c r="C110" s="443" t="s">
        <v>3173</v>
      </c>
      <c r="D110" s="443" t="s">
        <v>3174</v>
      </c>
      <c r="E110" s="443" t="s">
        <v>3175</v>
      </c>
      <c r="F110" s="443" t="s">
        <v>99</v>
      </c>
      <c r="G110" s="443" t="s">
        <v>19</v>
      </c>
      <c r="H110" s="443" t="s">
        <v>3067</v>
      </c>
      <c r="I110" s="443" t="s">
        <v>3163</v>
      </c>
      <c r="J110" s="447" t="s"/>
      <c r="K110" s="445">
        <v>1</v>
      </c>
      <c r="L110" s="445">
        <v>1</v>
      </c>
      <c r="M110" s="446" t="s"/>
    </row>
    <row r="111" spans="1:13" s="481" customFormat="true">
      <c r="A111" s="442" t="s"/>
      <c r="B111" s="442" t="s"/>
      <c r="C111" s="443" t="s">
        <v>3176</v>
      </c>
      <c r="D111" s="443" t="s">
        <v>3177</v>
      </c>
      <c r="E111" s="443" t="s">
        <v>3178</v>
      </c>
      <c r="F111" s="443" t="s">
        <v>258</v>
      </c>
      <c r="G111" s="443" t="s">
        <v>19</v>
      </c>
      <c r="H111" s="443" t="s">
        <v>3067</v>
      </c>
      <c r="I111" s="443" t="s">
        <v>3163</v>
      </c>
      <c r="J111" s="447" t="s"/>
      <c r="K111" s="445">
        <v>1</v>
      </c>
      <c r="L111" s="445">
        <v>1</v>
      </c>
      <c r="M111" s="446" t="s"/>
    </row>
    <row r="112" spans="1:13" s="481" customFormat="true">
      <c r="A112" s="442" t="s"/>
      <c r="B112" s="442" t="s"/>
      <c r="C112" s="443" t="s">
        <v>3179</v>
      </c>
      <c r="D112" s="443" t="s">
        <v>3180</v>
      </c>
      <c r="E112" s="443" t="s">
        <v>3181</v>
      </c>
      <c r="F112" s="443" t="s">
        <v>99</v>
      </c>
      <c r="G112" s="443" t="s">
        <v>19</v>
      </c>
      <c r="H112" s="443" t="s">
        <v>3067</v>
      </c>
      <c r="I112" s="443" t="s">
        <v>3163</v>
      </c>
      <c r="J112" s="447" t="s"/>
      <c r="K112" s="445">
        <v>1</v>
      </c>
      <c r="L112" s="445">
        <v>1</v>
      </c>
      <c r="M112" s="446" t="s"/>
    </row>
    <row r="113" spans="1:13" s="481" customFormat="true">
      <c r="A113" s="442" t="s"/>
      <c r="B113" s="442" t="s"/>
      <c r="C113" s="443" t="s">
        <v>3182</v>
      </c>
      <c r="D113" s="443" t="s">
        <v>3183</v>
      </c>
      <c r="E113" s="443" t="s">
        <v>3184</v>
      </c>
      <c r="F113" s="443" t="s">
        <v>12</v>
      </c>
      <c r="G113" s="443" t="s">
        <v>19</v>
      </c>
      <c r="H113" s="443" t="s">
        <v>3067</v>
      </c>
      <c r="I113" s="443" t="s">
        <v>3163</v>
      </c>
      <c r="J113" s="447" t="s"/>
      <c r="K113" s="445">
        <v>1</v>
      </c>
      <c r="L113" s="445">
        <v>1</v>
      </c>
      <c r="M113" s="446" t="s"/>
    </row>
    <row r="114" spans="1:13" s="481" customFormat="true">
      <c r="A114" s="442" t="s"/>
      <c r="B114" s="442" t="s"/>
      <c r="C114" s="443" t="s">
        <v>3185</v>
      </c>
      <c r="D114" s="443" t="s">
        <v>3186</v>
      </c>
      <c r="E114" s="443" t="s">
        <v>3187</v>
      </c>
      <c r="F114" s="443" t="s">
        <v>99</v>
      </c>
      <c r="G114" s="443" t="s">
        <v>19</v>
      </c>
      <c r="H114" s="443" t="s">
        <v>3067</v>
      </c>
      <c r="I114" s="443" t="s">
        <v>3188</v>
      </c>
      <c r="J114" s="447" t="s"/>
      <c r="K114" s="445">
        <v>1</v>
      </c>
      <c r="L114" s="445">
        <v>1</v>
      </c>
      <c r="M114" s="446" t="s"/>
    </row>
    <row r="115" spans="1:13" s="481" customFormat="true">
      <c r="A115" s="442" t="s"/>
      <c r="B115" s="442" t="s"/>
      <c r="C115" s="443" t="s">
        <v>3189</v>
      </c>
      <c r="D115" s="443" t="s">
        <v>3190</v>
      </c>
      <c r="E115" s="443" t="s">
        <v>3191</v>
      </c>
      <c r="F115" s="443" t="s">
        <v>99</v>
      </c>
      <c r="G115" s="443" t="s">
        <v>19</v>
      </c>
      <c r="H115" s="443" t="s">
        <v>3067</v>
      </c>
      <c r="I115" s="443" t="s">
        <v>3188</v>
      </c>
      <c r="J115" s="447" t="s"/>
      <c r="K115" s="445">
        <v>1</v>
      </c>
      <c r="L115" s="445">
        <v>1</v>
      </c>
      <c r="M115" s="446" t="s"/>
    </row>
    <row r="116" spans="1:13" s="481" customFormat="true">
      <c r="A116" s="442" t="s"/>
      <c r="B116" s="442" t="s"/>
      <c r="C116" s="443" t="s">
        <v>3192</v>
      </c>
      <c r="D116" s="443" t="s">
        <v>3193</v>
      </c>
      <c r="E116" s="443" t="s">
        <v>3194</v>
      </c>
      <c r="F116" s="443" t="s">
        <v>99</v>
      </c>
      <c r="G116" s="443" t="s">
        <v>19</v>
      </c>
      <c r="H116" s="443" t="s">
        <v>3067</v>
      </c>
      <c r="I116" s="443" t="s">
        <v>3188</v>
      </c>
      <c r="J116" s="447" t="s"/>
      <c r="K116" s="445">
        <v>1</v>
      </c>
      <c r="L116" s="445">
        <v>1</v>
      </c>
      <c r="M116" s="446" t="s"/>
    </row>
    <row r="117" spans="1:13" s="481" customFormat="true">
      <c r="A117" s="442" t="s"/>
      <c r="B117" s="442" t="s"/>
      <c r="C117" s="443" t="s">
        <v>3195</v>
      </c>
      <c r="D117" s="443" t="s">
        <v>3196</v>
      </c>
      <c r="E117" s="443" t="s">
        <v>3197</v>
      </c>
      <c r="F117" s="443" t="s">
        <v>99</v>
      </c>
      <c r="G117" s="443" t="s">
        <v>19</v>
      </c>
      <c r="H117" s="443" t="s">
        <v>3067</v>
      </c>
      <c r="I117" s="443" t="s">
        <v>3188</v>
      </c>
      <c r="J117" s="447" t="s"/>
      <c r="K117" s="445">
        <v>1</v>
      </c>
      <c r="L117" s="445">
        <v>1</v>
      </c>
      <c r="M117" s="446" t="s"/>
    </row>
    <row r="118" spans="1:13" s="481" customFormat="true">
      <c r="A118" s="442" t="s"/>
      <c r="B118" s="442" t="s"/>
      <c r="C118" s="443" t="s">
        <v>3198</v>
      </c>
      <c r="D118" s="443" t="s">
        <v>3199</v>
      </c>
      <c r="E118" s="443" t="s">
        <v>3200</v>
      </c>
      <c r="F118" s="443" t="s">
        <v>99</v>
      </c>
      <c r="G118" s="443" t="s">
        <v>19</v>
      </c>
      <c r="H118" s="443" t="s">
        <v>3067</v>
      </c>
      <c r="I118" s="443" t="s">
        <v>3188</v>
      </c>
      <c r="J118" s="447" t="s"/>
      <c r="K118" s="445">
        <v>1</v>
      </c>
      <c r="L118" s="445">
        <v>1</v>
      </c>
      <c r="M118" s="446" t="s"/>
    </row>
    <row r="119" spans="1:13" s="481" customFormat="true">
      <c r="A119" s="442" t="s"/>
      <c r="B119" s="442" t="s"/>
      <c r="C119" s="443" t="s">
        <v>3201</v>
      </c>
      <c r="D119" s="443" t="s">
        <v>3202</v>
      </c>
      <c r="E119" s="443" t="s">
        <v>3203</v>
      </c>
      <c r="F119" s="443" t="s">
        <v>258</v>
      </c>
      <c r="G119" s="443" t="s">
        <v>19</v>
      </c>
      <c r="H119" s="443" t="s">
        <v>3067</v>
      </c>
      <c r="I119" s="443" t="s">
        <v>3188</v>
      </c>
      <c r="J119" s="447" t="s"/>
      <c r="K119" s="445">
        <v>1</v>
      </c>
      <c r="L119" s="445">
        <v>1</v>
      </c>
      <c r="M119" s="446" t="s"/>
    </row>
    <row r="120" spans="1:13" s="481" customFormat="true">
      <c r="A120" s="442" t="s"/>
      <c r="B120" s="442" t="s"/>
      <c r="C120" s="443" t="s">
        <v>3204</v>
      </c>
      <c r="D120" s="443" t="s">
        <v>3205</v>
      </c>
      <c r="E120" s="443" t="s">
        <v>3206</v>
      </c>
      <c r="F120" s="443" t="s">
        <v>99</v>
      </c>
      <c r="G120" s="443" t="s">
        <v>19</v>
      </c>
      <c r="H120" s="443" t="s">
        <v>3067</v>
      </c>
      <c r="I120" s="443" t="s">
        <v>3188</v>
      </c>
      <c r="J120" s="447" t="s"/>
      <c r="K120" s="445">
        <v>1</v>
      </c>
      <c r="L120" s="445">
        <v>1</v>
      </c>
      <c r="M120" s="446" t="s"/>
    </row>
    <row r="121" spans="1:13" s="481" customFormat="true">
      <c r="A121" s="442" t="s"/>
      <c r="B121" s="442" t="s"/>
      <c r="C121" s="443" t="s">
        <v>3207</v>
      </c>
      <c r="D121" s="443" t="s">
        <v>3208</v>
      </c>
      <c r="E121" s="443" t="s">
        <v>3209</v>
      </c>
      <c r="F121" s="443" t="s">
        <v>12</v>
      </c>
      <c r="G121" s="443" t="s">
        <v>19</v>
      </c>
      <c r="H121" s="443" t="s">
        <v>3067</v>
      </c>
      <c r="I121" s="443" t="s">
        <v>3188</v>
      </c>
      <c r="J121" s="447" t="s"/>
      <c r="K121" s="445">
        <v>1</v>
      </c>
      <c r="L121" s="445">
        <v>1</v>
      </c>
      <c r="M121" s="446" t="s"/>
    </row>
    <row r="122" spans="1:26" s="482" customFormat="true" ht="15" customHeight="true">
      <c r="A122" s="443" t="s"/>
      <c r="B122" s="443" t="s"/>
      <c r="C122" s="443" t="s"/>
      <c r="D122" s="443" t="s">
        <v>22</v>
      </c>
      <c r="E122" s="443" t="s">
        <v>23</v>
      </c>
      <c r="F122" s="443" t="s">
        <v>24</v>
      </c>
      <c r="G122" s="443" t="s">
        <v>19</v>
      </c>
      <c r="H122" s="443" t="s">
        <v>3067</v>
      </c>
      <c r="I122" s="443" t="s"/>
      <c r="J122" s="443" t="s"/>
      <c r="K122" s="445">
        <v>1</v>
      </c>
      <c r="L122" s="445">
        <v>1</v>
      </c>
      <c r="M122" s="462" t="s"/>
      <c r="N122" s="443" t="s"/>
      <c r="O122" s="443" t="s"/>
      <c r="P122" s="443" t="s"/>
      <c r="Q122" s="443" t="s"/>
      <c r="R122" s="443" t="s"/>
      <c r="S122" s="443" t="s"/>
      <c r="T122" s="443" t="s"/>
      <c r="U122" s="443" t="s"/>
      <c r="V122" s="443" t="s"/>
      <c r="W122" s="443" t="s"/>
      <c r="X122" s="443" t="s"/>
      <c r="Y122" s="443" t="s"/>
      <c r="Z122" s="443" t="s"/>
    </row>
    <row r="123" spans="1:26"/>
    <row r="124" spans="1:26"/>
    <row r="125" spans="1:26"/>
    <row r="126" spans="1:26"/>
    <row r="127" spans="1:26"/>
    <row r="128" spans="1:26"/>
    <row r="129" spans="1:26"/>
    <row r="130" spans="1:26"/>
    <row r="131" spans="1:26"/>
    <row r="132" spans="1:26"/>
    <row r="133" spans="1:26"/>
    <row r="134" spans="1:26"/>
    <row r="135" spans="1:26"/>
    <row r="136" spans="1:26"/>
    <row r="137" spans="1:26"/>
    <row r="138" spans="1:26"/>
    <row r="139" spans="1:26"/>
    <row r="140" spans="1:26"/>
    <row r="141" spans="1:26"/>
    <row r="142" spans="1:26"/>
    <row r="143" spans="1:26"/>
    <row r="144" spans="1:26"/>
    <row r="145" spans="1:26"/>
    <row r="146" spans="1:26"/>
    <row r="147" spans="1:26"/>
    <row r="148" spans="1:26"/>
    <row r="149" spans="1:26"/>
    <row r="150" spans="1:26"/>
    <row r="151" spans="1:26"/>
    <row r="152" spans="1:26"/>
    <row r="153" spans="1:26"/>
    <row r="154" spans="1:26"/>
    <row r="155" spans="1:26"/>
    <row r="156" spans="1:26"/>
    <row r="157" spans="1:26"/>
    <row r="158" spans="1:26"/>
    <row r="159" spans="1:26"/>
    <row r="160" spans="1:26"/>
    <row r="161" spans="1:26"/>
    <row r="162" spans="1:26"/>
    <row r="163" spans="1:26"/>
    <row r="164" spans="1:26"/>
    <row r="165" spans="1:26"/>
    <row r="166" spans="1:26"/>
    <row r="167" spans="1:26"/>
    <row r="168" spans="1:26"/>
    <row r="169" spans="1:26"/>
    <row r="170" spans="1:26"/>
    <row r="171" spans="1:26"/>
    <row r="172" spans="1:26"/>
    <row r="173" spans="1:26"/>
    <row r="174" spans="1:26"/>
  </sheetData>
</worksheet>
</file>

<file path=xl/worksheets/sheet16.xml><?xml version="1.0" encoding="utf-8"?>
<worksheet xmlns="http://schemas.openxmlformats.org/spreadsheetml/2006/main">
  <sheetPr codeName="defect library">
    <tabColor rgb="FFFFFFFF"/>
  </sheetPr>
  <dimension ref="I39"/>
  <sheetViews>
    <sheetView showGridLines="true" workbookViewId="0"/>
  </sheetViews>
  <sheetFormatPr baseColWidth="13" defaultRowHeight="18" customHeight="true"/>
  <cols>
    <col min="1" max="1" width="32.6406" customWidth="true"/>
    <col min="2" max="2" width="14.1641" customWidth="true"/>
    <col min="3" max="3" width="55.4336" style="483" customWidth="true"/>
    <col min="4" max="4" width="17.1328" customWidth="true"/>
    <col min="5" max="5" width="14.5625" customWidth="true"/>
    <col min="6" max="6" width="16.7109" customWidth="true"/>
    <col min="8" max="8" width="33.043" customWidth="true"/>
  </cols>
  <sheetData>
    <row r="1" spans="1:9">
      <c r="A1" s="107" t="s">
        <v>1</v>
      </c>
      <c r="B1" s="107" t="s">
        <v>2</v>
      </c>
      <c r="C1" s="368" t="s">
        <v>3</v>
      </c>
      <c r="D1" s="107" t="s">
        <v>4</v>
      </c>
      <c r="E1" s="107" t="s">
        <v>5</v>
      </c>
      <c r="F1" s="107" t="s">
        <v>6</v>
      </c>
      <c r="G1" s="107" t="s">
        <v>7</v>
      </c>
      <c r="H1" s="107" t="s">
        <v>8</v>
      </c>
      <c r="I1" s="7" t="s">
        <v>9</v>
      </c>
    </row>
    <row r="2" spans="1:9">
      <c r="A2" s="46" t="s"/>
      <c r="B2" s="369" t="s"/>
      <c r="C2" s="370" t="s"/>
      <c r="D2" s="107" t="s">
        <v>2339</v>
      </c>
      <c r="E2" s="107" t="s">
        <v>2340</v>
      </c>
      <c r="F2" s="107" t="s">
        <v>12</v>
      </c>
      <c r="G2" s="107" t="s">
        <v>13</v>
      </c>
      <c r="H2" s="107" t="s">
        <v>176</v>
      </c>
      <c r="I2" s="371" t="s"/>
    </row>
    <row r="3" spans="1:9">
      <c r="A3" s="46" t="s"/>
      <c r="B3" s="372" t="s">
        <v>2341</v>
      </c>
      <c r="C3" s="373" t="s">
        <v>2342</v>
      </c>
      <c r="D3" s="107" t="s">
        <v>2343</v>
      </c>
      <c r="E3" s="372" t="s">
        <v>2344</v>
      </c>
      <c r="F3" s="372" t="s">
        <v>12</v>
      </c>
      <c r="G3" s="107" t="s">
        <v>13</v>
      </c>
      <c r="H3" s="107" t="s">
        <v>176</v>
      </c>
      <c r="I3" s="371" t="s"/>
    </row>
    <row r="4" spans="1:9">
      <c r="A4" s="46" t="s"/>
      <c r="B4" s="372" t="s">
        <v>2345</v>
      </c>
      <c r="C4" s="373" t="s">
        <v>2346</v>
      </c>
      <c r="D4" s="107" t="s">
        <v>2347</v>
      </c>
      <c r="E4" s="372" t="s">
        <v>2348</v>
      </c>
      <c r="F4" s="372" t="s">
        <v>12</v>
      </c>
      <c r="G4" s="107" t="s">
        <v>13</v>
      </c>
      <c r="H4" s="107" t="s">
        <v>176</v>
      </c>
      <c r="I4" s="371" t="s"/>
    </row>
    <row r="5" spans="1:9">
      <c r="A5" s="46" t="s"/>
      <c r="B5" s="372" t="s">
        <v>2349</v>
      </c>
      <c r="C5" s="373" t="s">
        <v>2350</v>
      </c>
      <c r="D5" s="107" t="s">
        <v>38</v>
      </c>
      <c r="E5" s="372" t="s">
        <v>39</v>
      </c>
      <c r="F5" s="372" t="s">
        <v>85</v>
      </c>
      <c r="G5" s="107" t="s">
        <v>13</v>
      </c>
      <c r="H5" s="107" t="s">
        <v>176</v>
      </c>
      <c r="I5" s="371" t="s"/>
    </row>
    <row r="6" spans="1:9">
      <c r="A6" s="46" t="s"/>
      <c r="B6" s="372" t="s">
        <v>2351</v>
      </c>
      <c r="C6" s="373" t="s">
        <v>2352</v>
      </c>
      <c r="D6" s="107" t="s">
        <v>2353</v>
      </c>
      <c r="E6" s="372" t="s">
        <v>54</v>
      </c>
      <c r="F6" s="372" t="s">
        <v>85</v>
      </c>
      <c r="G6" s="107" t="s">
        <v>13</v>
      </c>
      <c r="H6" s="107" t="s">
        <v>176</v>
      </c>
      <c r="I6" s="371" t="s"/>
    </row>
    <row r="7" spans="1:9">
      <c r="A7" s="46" t="s"/>
      <c r="B7" s="372" t="s">
        <v>2354</v>
      </c>
      <c r="C7" s="373" t="s">
        <v>2355</v>
      </c>
      <c r="D7" s="107" t="s">
        <v>2356</v>
      </c>
      <c r="E7" s="372" t="s">
        <v>2357</v>
      </c>
      <c r="F7" s="372" t="s">
        <v>12</v>
      </c>
      <c r="G7" s="107" t="s">
        <v>13</v>
      </c>
      <c r="H7" s="107" t="s">
        <v>176</v>
      </c>
      <c r="I7" s="107" t="s"/>
    </row>
    <row r="8" spans="1:9">
      <c r="A8" s="46" t="s"/>
      <c r="B8" s="372" t="s">
        <v>2358</v>
      </c>
      <c r="C8" s="373" t="s">
        <v>2359</v>
      </c>
      <c r="D8" s="107" t="s">
        <v>2360</v>
      </c>
      <c r="E8" s="372" t="s">
        <v>2361</v>
      </c>
      <c r="F8" s="372" t="s">
        <v>85</v>
      </c>
      <c r="G8" s="107" t="s">
        <v>13</v>
      </c>
      <c r="H8" s="107" t="s">
        <v>176</v>
      </c>
      <c r="I8" s="107" t="s"/>
    </row>
    <row r="9" spans="1:9">
      <c r="A9" s="46" t="s"/>
      <c r="B9" s="372" t="s">
        <v>2362</v>
      </c>
      <c r="C9" s="373" t="s">
        <v>2363</v>
      </c>
      <c r="D9" s="107" t="s">
        <v>2364</v>
      </c>
      <c r="E9" s="372" t="s">
        <v>2365</v>
      </c>
      <c r="F9" s="372" t="s">
        <v>85</v>
      </c>
      <c r="G9" s="107" t="s">
        <v>13</v>
      </c>
      <c r="H9" s="107" t="s">
        <v>176</v>
      </c>
      <c r="I9" s="107" t="s"/>
    </row>
    <row r="10" spans="1:9">
      <c r="A10" s="46" t="s"/>
      <c r="B10" s="372" t="s">
        <v>2366</v>
      </c>
      <c r="C10" s="373" t="s">
        <v>2367</v>
      </c>
      <c r="D10" s="107" t="s">
        <v>2368</v>
      </c>
      <c r="E10" s="372" t="s">
        <v>2369</v>
      </c>
      <c r="F10" s="372" t="s">
        <v>12</v>
      </c>
      <c r="G10" s="107" t="s">
        <v>13</v>
      </c>
      <c r="H10" s="107" t="s">
        <v>176</v>
      </c>
      <c r="I10" s="107" t="s"/>
    </row>
    <row r="11" spans="1:9">
      <c r="A11" s="46" t="s"/>
      <c r="B11" s="372" t="s">
        <v>2370</v>
      </c>
      <c r="C11" s="373" t="s">
        <v>2371</v>
      </c>
      <c r="D11" s="107" t="s">
        <v>2372</v>
      </c>
      <c r="E11" s="372" t="s">
        <v>2373</v>
      </c>
      <c r="F11" s="372" t="s">
        <v>85</v>
      </c>
      <c r="G11" s="107" t="s">
        <v>13</v>
      </c>
      <c r="H11" s="107" t="s">
        <v>176</v>
      </c>
      <c r="I11" s="107" t="s"/>
    </row>
    <row r="12" spans="1:9">
      <c r="A12" s="46" t="s"/>
      <c r="B12" s="372" t="s">
        <v>2374</v>
      </c>
      <c r="C12" s="373" t="s">
        <v>2375</v>
      </c>
      <c r="D12" s="107" t="s">
        <v>2376</v>
      </c>
      <c r="E12" s="372" t="s">
        <v>2377</v>
      </c>
      <c r="F12" s="372" t="s">
        <v>85</v>
      </c>
      <c r="G12" s="107" t="s">
        <v>13</v>
      </c>
      <c r="H12" s="107" t="s">
        <v>176</v>
      </c>
      <c r="I12" s="107" t="s"/>
    </row>
    <row r="13" spans="1:9">
      <c r="A13" s="46" t="s"/>
      <c r="B13" s="372" t="s">
        <v>2378</v>
      </c>
      <c r="C13" s="373" t="s">
        <v>2379</v>
      </c>
      <c r="D13" s="107" t="s">
        <v>2379</v>
      </c>
      <c r="E13" s="372" t="s">
        <v>2380</v>
      </c>
      <c r="F13" s="372" t="s">
        <v>85</v>
      </c>
      <c r="G13" s="107" t="s">
        <v>13</v>
      </c>
      <c r="H13" s="107" t="s">
        <v>176</v>
      </c>
      <c r="I13" s="107" t="s"/>
    </row>
    <row r="14" spans="1:9">
      <c r="A14" s="46" t="s"/>
      <c r="B14" s="372" t="s">
        <v>2381</v>
      </c>
      <c r="C14" s="373" t="s">
        <v>2382</v>
      </c>
      <c r="D14" s="107" t="s">
        <v>2382</v>
      </c>
      <c r="E14" s="372" t="s">
        <v>2383</v>
      </c>
      <c r="F14" s="372" t="s">
        <v>85</v>
      </c>
      <c r="G14" s="107" t="s">
        <v>13</v>
      </c>
      <c r="H14" s="107" t="s">
        <v>176</v>
      </c>
      <c r="I14" s="107" t="s"/>
    </row>
    <row r="15" spans="1:9">
      <c r="A15" s="46" t="s"/>
      <c r="B15" s="372" t="s">
        <v>2384</v>
      </c>
      <c r="C15" s="373" t="s">
        <v>2385</v>
      </c>
      <c r="D15" s="107" t="s">
        <v>2386</v>
      </c>
      <c r="E15" s="372" t="s">
        <v>2387</v>
      </c>
      <c r="F15" s="372" t="s">
        <v>12</v>
      </c>
      <c r="G15" s="107" t="s">
        <v>13</v>
      </c>
      <c r="H15" s="107" t="s">
        <v>176</v>
      </c>
      <c r="I15" s="107" t="s"/>
    </row>
    <row r="16" spans="1:9">
      <c r="A16" s="46" t="s"/>
      <c r="B16" s="46" t="s"/>
      <c r="C16" s="59" t="s"/>
      <c r="D16" s="107" t="s">
        <v>323</v>
      </c>
      <c r="E16" s="372" t="s">
        <v>324</v>
      </c>
      <c r="F16" s="372" t="s">
        <v>12</v>
      </c>
      <c r="G16" s="107" t="s">
        <v>13</v>
      </c>
      <c r="H16" s="107" t="s">
        <v>176</v>
      </c>
      <c r="I16" s="107" t="s">
        <v>1710</v>
      </c>
    </row>
    <row r="18" spans="1:9">
      <c r="A18" s="46" t="s"/>
      <c r="B18" s="46" t="s"/>
      <c r="C18" s="59" t="s"/>
      <c r="D18" s="107" t="s">
        <v>2339</v>
      </c>
      <c r="E18" s="107" t="s">
        <v>2340</v>
      </c>
      <c r="F18" s="107" t="s">
        <v>12</v>
      </c>
      <c r="G18" s="107" t="s">
        <v>13</v>
      </c>
      <c r="H18" s="107" t="s">
        <v>179</v>
      </c>
      <c r="I18" s="46" t="s"/>
    </row>
    <row r="19" spans="1:9">
      <c r="A19" s="46" t="s"/>
      <c r="B19" s="46" t="s"/>
      <c r="C19" s="59" t="s"/>
      <c r="D19" s="107" t="s">
        <v>22</v>
      </c>
      <c r="E19" s="107" t="s">
        <v>23</v>
      </c>
      <c r="F19" s="107" t="s">
        <v>24</v>
      </c>
      <c r="G19" s="107" t="s">
        <v>19</v>
      </c>
      <c r="H19" s="107" t="s">
        <v>179</v>
      </c>
      <c r="I19" s="46" t="s"/>
    </row>
    <row r="20" spans="1:9">
      <c r="A20" s="46" t="s"/>
      <c r="B20" s="372" t="s">
        <v>2388</v>
      </c>
      <c r="C20" s="373" t="s">
        <v>2389</v>
      </c>
      <c r="D20" s="107" t="s">
        <v>2390</v>
      </c>
      <c r="E20" s="372" t="s">
        <v>2391</v>
      </c>
      <c r="F20" s="372" t="s">
        <v>12</v>
      </c>
      <c r="G20" s="107" t="s">
        <v>19</v>
      </c>
      <c r="H20" s="107" t="s">
        <v>179</v>
      </c>
      <c r="I20" s="371" t="s"/>
    </row>
    <row r="21" spans="1:9">
      <c r="A21" s="46" t="s"/>
      <c r="B21" s="372" t="s">
        <v>2392</v>
      </c>
      <c r="C21" s="373" t="s">
        <v>2393</v>
      </c>
      <c r="D21" s="107" t="s">
        <v>2394</v>
      </c>
      <c r="E21" s="372" t="s">
        <v>2395</v>
      </c>
      <c r="F21" s="372" t="s">
        <v>1229</v>
      </c>
      <c r="G21" s="107" t="s">
        <v>19</v>
      </c>
      <c r="H21" s="107" t="s">
        <v>179</v>
      </c>
      <c r="I21" s="371" t="s"/>
    </row>
    <row r="22" spans="1:9">
      <c r="A22" s="46" t="s"/>
      <c r="B22" s="372" t="s">
        <v>2396</v>
      </c>
      <c r="C22" s="373" t="s">
        <v>2397</v>
      </c>
      <c r="D22" s="107" t="s">
        <v>2398</v>
      </c>
      <c r="E22" s="372" t="s">
        <v>2399</v>
      </c>
      <c r="F22" s="372" t="s">
        <v>1229</v>
      </c>
      <c r="G22" s="107" t="s">
        <v>19</v>
      </c>
      <c r="H22" s="107" t="s">
        <v>179</v>
      </c>
      <c r="I22" s="371" t="s"/>
    </row>
    <row r="23" spans="1:9">
      <c r="A23" s="46" t="s"/>
      <c r="B23" s="372" t="s">
        <v>2400</v>
      </c>
      <c r="C23" s="373" t="s">
        <v>2401</v>
      </c>
      <c r="D23" s="107" t="s">
        <v>2402</v>
      </c>
      <c r="E23" s="372" t="s">
        <v>2403</v>
      </c>
      <c r="F23" s="372" t="s">
        <v>2404</v>
      </c>
      <c r="G23" s="107" t="s">
        <v>19</v>
      </c>
      <c r="H23" s="107" t="s">
        <v>179</v>
      </c>
      <c r="I23" s="371" t="s"/>
    </row>
    <row r="24" spans="1:9">
      <c r="A24" s="46" t="s"/>
      <c r="B24" s="372" t="s">
        <v>2405</v>
      </c>
      <c r="C24" s="373" t="s">
        <v>2406</v>
      </c>
      <c r="D24" s="107" t="s">
        <v>2407</v>
      </c>
      <c r="E24" s="372" t="s">
        <v>2408</v>
      </c>
      <c r="F24" s="372" t="s">
        <v>1290</v>
      </c>
      <c r="G24" s="107" t="s">
        <v>19</v>
      </c>
      <c r="H24" s="107" t="s">
        <v>179</v>
      </c>
      <c r="I24" s="371" t="s"/>
    </row>
    <row r="25" spans="1:9">
      <c r="A25" s="46" t="s"/>
      <c r="B25" s="372" t="s">
        <v>2409</v>
      </c>
      <c r="C25" s="373" t="s">
        <v>2410</v>
      </c>
      <c r="D25" s="107" t="s">
        <v>2411</v>
      </c>
      <c r="E25" s="372" t="s">
        <v>2412</v>
      </c>
      <c r="F25" s="372" t="s">
        <v>1290</v>
      </c>
      <c r="G25" s="107" t="s">
        <v>19</v>
      </c>
      <c r="H25" s="107" t="s">
        <v>179</v>
      </c>
      <c r="I25" s="371" t="s"/>
    </row>
    <row r="26" spans="1:9">
      <c r="A26" s="46" t="s"/>
      <c r="B26" s="46" t="s"/>
      <c r="C26" s="59" t="s"/>
      <c r="D26" s="107" t="s">
        <v>2413</v>
      </c>
      <c r="E26" s="372" t="s">
        <v>2414</v>
      </c>
      <c r="F26" s="372" t="s">
        <v>12</v>
      </c>
      <c r="G26" s="107" t="s">
        <v>19</v>
      </c>
      <c r="H26" s="107" t="s">
        <v>179</v>
      </c>
      <c r="I26" s="371" t="s"/>
    </row>
    <row r="27" spans="1:9">
      <c r="A27" s="46" t="s"/>
      <c r="B27" s="107" t="s">
        <v>2415</v>
      </c>
      <c r="C27" s="368" t="s">
        <v>2416</v>
      </c>
      <c r="D27" s="107" t="s">
        <v>2417</v>
      </c>
      <c r="E27" s="372" t="s">
        <v>2418</v>
      </c>
      <c r="F27" s="372" t="s">
        <v>85</v>
      </c>
      <c r="G27" s="107" t="s">
        <v>19</v>
      </c>
      <c r="H27" s="107" t="s">
        <v>179</v>
      </c>
      <c r="I27" s="371" t="s"/>
    </row>
    <row r="28" spans="1:9">
      <c r="A28" s="46" t="s"/>
      <c r="B28" s="46" t="s"/>
      <c r="C28" s="59" t="s"/>
      <c r="D28" s="107" t="s">
        <v>2419</v>
      </c>
      <c r="E28" s="372" t="s">
        <v>2420</v>
      </c>
      <c r="F28" s="372" t="s">
        <v>12</v>
      </c>
      <c r="G28" s="107" t="s">
        <v>19</v>
      </c>
      <c r="H28" s="107" t="s">
        <v>179</v>
      </c>
      <c r="I28" s="371" t="s"/>
    </row>
    <row r="29" spans="1:9">
      <c r="A29" s="46" t="s"/>
      <c r="B29" s="107" t="s">
        <v>2421</v>
      </c>
      <c r="C29" s="368" t="s">
        <v>2422</v>
      </c>
      <c r="D29" s="107" t="s">
        <v>2423</v>
      </c>
      <c r="E29" s="372" t="s">
        <v>2424</v>
      </c>
      <c r="F29" s="372" t="s">
        <v>85</v>
      </c>
      <c r="G29" s="107" t="s">
        <v>19</v>
      </c>
      <c r="H29" s="107" t="s">
        <v>179</v>
      </c>
      <c r="I29" s="371" t="s"/>
    </row>
    <row r="30" spans="1:9">
      <c r="A30" s="46" t="s"/>
      <c r="B30" s="46" t="s"/>
      <c r="C30" s="59" t="s"/>
      <c r="D30" s="107" t="s">
        <v>2425</v>
      </c>
      <c r="E30" s="372" t="s">
        <v>2426</v>
      </c>
      <c r="F30" s="372" t="s">
        <v>12</v>
      </c>
      <c r="G30" s="107" t="s">
        <v>19</v>
      </c>
      <c r="H30" s="107" t="s">
        <v>179</v>
      </c>
      <c r="I30" s="371" t="s"/>
    </row>
    <row r="31" spans="1:9">
      <c r="A31" s="46" t="s"/>
      <c r="B31" s="107" t="s">
        <v>2427</v>
      </c>
      <c r="C31" s="368" t="s">
        <v>2428</v>
      </c>
      <c r="D31" s="107" t="s">
        <v>2429</v>
      </c>
      <c r="E31" s="372" t="s">
        <v>2430</v>
      </c>
      <c r="F31" s="372" t="s">
        <v>85</v>
      </c>
      <c r="G31" s="107" t="s">
        <v>19</v>
      </c>
      <c r="H31" s="107" t="s">
        <v>179</v>
      </c>
      <c r="I31" s="371" t="s"/>
    </row>
    <row r="32" spans="1:9">
      <c r="A32" s="46" t="s"/>
      <c r="B32" s="372" t="s">
        <v>2431</v>
      </c>
      <c r="C32" s="373" t="s">
        <v>2432</v>
      </c>
      <c r="D32" s="107" t="s">
        <v>2433</v>
      </c>
      <c r="E32" s="372" t="s">
        <v>2434</v>
      </c>
      <c r="F32" s="372" t="s">
        <v>85</v>
      </c>
      <c r="G32" s="107" t="s">
        <v>19</v>
      </c>
      <c r="H32" s="107" t="s">
        <v>179</v>
      </c>
      <c r="I32" s="371" t="s"/>
    </row>
    <row r="33" spans="1:9">
      <c r="A33" s="46" t="s"/>
      <c r="B33" s="372" t="s">
        <v>2435</v>
      </c>
      <c r="C33" s="373" t="s">
        <v>2436</v>
      </c>
      <c r="D33" s="107" t="s">
        <v>2437</v>
      </c>
      <c r="E33" s="372" t="s">
        <v>2438</v>
      </c>
      <c r="F33" s="372" t="s">
        <v>85</v>
      </c>
      <c r="G33" s="107" t="s">
        <v>19</v>
      </c>
      <c r="H33" s="107" t="s">
        <v>179</v>
      </c>
      <c r="I33" s="371" t="s"/>
    </row>
    <row r="34" spans="1:9">
      <c r="A34" s="46" t="s"/>
      <c r="B34" s="372" t="s">
        <v>2439</v>
      </c>
      <c r="C34" s="373" t="s">
        <v>2440</v>
      </c>
      <c r="D34" s="107" t="s">
        <v>2441</v>
      </c>
      <c r="E34" s="372" t="s">
        <v>747</v>
      </c>
      <c r="F34" s="372" t="s">
        <v>1290</v>
      </c>
      <c r="G34" s="107" t="s">
        <v>19</v>
      </c>
      <c r="H34" s="107" t="s">
        <v>179</v>
      </c>
      <c r="I34" s="371" t="s"/>
    </row>
    <row r="35" spans="1:9">
      <c r="A35" s="46" t="s"/>
      <c r="B35" s="372" t="s">
        <v>2442</v>
      </c>
      <c r="C35" s="373" t="s">
        <v>2443</v>
      </c>
      <c r="D35" s="107" t="s">
        <v>2444</v>
      </c>
      <c r="E35" s="372" t="s">
        <v>2445</v>
      </c>
      <c r="F35" s="372" t="s">
        <v>1229</v>
      </c>
      <c r="G35" s="107" t="s">
        <v>19</v>
      </c>
      <c r="H35" s="107" t="s">
        <v>179</v>
      </c>
      <c r="I35" s="371" t="s"/>
    </row>
    <row r="36" spans="1:9">
      <c r="A36" s="46" t="s"/>
      <c r="B36" s="372" t="s">
        <v>2446</v>
      </c>
      <c r="C36" s="373" t="s">
        <v>2447</v>
      </c>
      <c r="D36" s="107" t="s">
        <v>2448</v>
      </c>
      <c r="E36" s="372" t="s">
        <v>2449</v>
      </c>
      <c r="F36" s="372" t="s">
        <v>12</v>
      </c>
      <c r="G36" s="107" t="s">
        <v>19</v>
      </c>
      <c r="H36" s="107" t="s">
        <v>179</v>
      </c>
      <c r="I36" s="371" t="s"/>
    </row>
    <row r="37" spans="1:9">
      <c r="A37" s="46" t="s"/>
      <c r="B37" s="372" t="s">
        <v>2450</v>
      </c>
      <c r="C37" s="373" t="s">
        <v>9</v>
      </c>
      <c r="D37" s="107" t="s">
        <v>9</v>
      </c>
      <c r="E37" s="372" t="s">
        <v>2451</v>
      </c>
      <c r="F37" s="372" t="s">
        <v>1229</v>
      </c>
      <c r="G37" s="107" t="s">
        <v>19</v>
      </c>
      <c r="H37" s="107" t="s">
        <v>179</v>
      </c>
      <c r="I37" s="371" t="s"/>
    </row>
    <row r="38" spans="1:9">
      <c r="A38" s="46" t="s"/>
      <c r="B38" s="372" t="s">
        <v>2452</v>
      </c>
      <c r="C38" s="373" t="s">
        <v>2453</v>
      </c>
      <c r="D38" s="107" t="s">
        <v>2454</v>
      </c>
      <c r="E38" s="372" t="s">
        <v>2455</v>
      </c>
      <c r="F38" s="372" t="s">
        <v>12</v>
      </c>
      <c r="G38" s="107" t="s">
        <v>19</v>
      </c>
      <c r="H38" s="107" t="s">
        <v>179</v>
      </c>
      <c r="I38" s="374" t="s"/>
    </row>
    <row r="39" spans="1:9">
      <c r="A39" s="46" t="s"/>
      <c r="B39" s="46" t="s"/>
      <c r="C39" s="59" t="s"/>
      <c r="D39" s="64" t="s">
        <v>117</v>
      </c>
      <c r="E39" s="64" t="s">
        <v>118</v>
      </c>
      <c r="F39" s="64" t="s">
        <v>119</v>
      </c>
      <c r="G39" s="107" t="s">
        <v>19</v>
      </c>
      <c r="H39" s="107" t="s">
        <v>179</v>
      </c>
      <c r="I39" s="46" t="s"/>
    </row>
  </sheetData>
</worksheet>
</file>

<file path=xl/worksheets/sheet17.xml><?xml version="1.0" encoding="utf-8"?>
<worksheet xmlns="http://schemas.openxmlformats.org/spreadsheetml/2006/main">
  <sheetPr codeName="part  library">
    <tabColor/>
  </sheetPr>
  <dimension ref="I35"/>
  <sheetViews>
    <sheetView showGridLines="true" workbookViewId="0"/>
  </sheetViews>
  <sheetFormatPr baseColWidth="13" defaultRowHeight="18" customHeight="true"/>
  <cols>
    <col min="1" max="1" width="6.60156" style="31" customWidth="true"/>
    <col min="2" max="2" width="20.9922" style="31" customWidth="true"/>
    <col min="3" max="3" width="103.152" style="31" customWidth="true"/>
    <col min="4" max="4" width="20.9922" style="31" customWidth="true"/>
    <col min="5" max="5" width="18.1016" style="31" customWidth="true"/>
    <col min="6" max="6" width="13.4023" style="31" customWidth="true"/>
    <col min="7" max="7" width="10.2031" style="31" customWidth="true"/>
    <col min="8" max="8" width="24.4727" style="31" customWidth="true"/>
    <col min="9" max="9" width="57.8516" style="31" customWidth="true"/>
    <col min="10" max="26" width="13.6719" style="13"/>
  </cols>
  <sheetData>
    <row r="1" spans="1:26" s="290" customFormat="true">
      <c r="A1" s="308" t="s">
        <v>1</v>
      </c>
      <c r="B1" s="308" t="s">
        <v>2</v>
      </c>
      <c r="C1" s="309" t="s">
        <v>3</v>
      </c>
      <c r="D1" s="308" t="s">
        <v>4</v>
      </c>
      <c r="E1" s="308" t="s">
        <v>5</v>
      </c>
      <c r="F1" s="308" t="s">
        <v>6</v>
      </c>
      <c r="G1" s="308" t="s">
        <v>7</v>
      </c>
      <c r="H1" s="308" t="s">
        <v>8</v>
      </c>
      <c r="I1" s="310" t="s">
        <v>9</v>
      </c>
      <c r="J1" s="248" t="s"/>
      <c r="K1" s="248" t="s"/>
      <c r="L1" s="248" t="s"/>
      <c r="M1" s="248" t="s"/>
      <c r="N1" s="248" t="s"/>
      <c r="O1" s="248" t="s"/>
      <c r="P1" s="248" t="s"/>
      <c r="Q1" s="248" t="s"/>
      <c r="R1" s="248" t="s"/>
      <c r="S1" s="248" t="s"/>
      <c r="T1" s="248" t="s"/>
      <c r="U1" s="248" t="s"/>
      <c r="V1" s="248" t="s"/>
      <c r="W1" s="248" t="s"/>
      <c r="X1" s="248" t="s"/>
      <c r="Y1" s="248" t="s"/>
      <c r="Z1" s="248" t="s"/>
    </row>
    <row r="2" spans="1:9">
      <c r="A2" s="311" t="s"/>
      <c r="B2" s="311" t="s"/>
      <c r="C2" s="312" t="s"/>
      <c r="D2" s="218" t="s">
        <v>1730</v>
      </c>
      <c r="E2" s="313" t="s">
        <v>11</v>
      </c>
      <c r="F2" s="218" t="s">
        <v>12</v>
      </c>
      <c r="G2" s="218" t="s">
        <v>13</v>
      </c>
      <c r="H2" s="218" t="s">
        <v>1731</v>
      </c>
      <c r="I2" s="311" t="s"/>
    </row>
    <row r="3" spans="1:9">
      <c r="A3" s="126" t="s"/>
      <c r="B3" s="88" t="s">
        <v>1732</v>
      </c>
      <c r="C3" s="314" t="s">
        <v>1733</v>
      </c>
      <c r="D3" s="88" t="s">
        <v>419</v>
      </c>
      <c r="E3" s="88" t="s">
        <v>420</v>
      </c>
      <c r="F3" s="88" t="s">
        <v>12</v>
      </c>
      <c r="G3" s="88" t="s">
        <v>13</v>
      </c>
      <c r="H3" s="88" t="s">
        <v>1731</v>
      </c>
      <c r="I3" s="88" t="s">
        <v>1734</v>
      </c>
    </row>
    <row r="4" spans="1:9">
      <c r="A4" s="126" t="s"/>
      <c r="B4" s="88" t="s">
        <v>1735</v>
      </c>
      <c r="C4" s="314" t="s">
        <v>1736</v>
      </c>
      <c r="D4" s="88" t="s">
        <v>1737</v>
      </c>
      <c r="E4" s="88" t="s">
        <v>1738</v>
      </c>
      <c r="F4" s="88" t="s">
        <v>12</v>
      </c>
      <c r="G4" s="88" t="s">
        <v>13</v>
      </c>
      <c r="H4" s="88" t="s">
        <v>1731</v>
      </c>
      <c r="I4" s="88" t="s">
        <v>1734</v>
      </c>
    </row>
    <row r="5" spans="1:26" s="472" customFormat="true">
      <c r="A5" s="315" t="s"/>
      <c r="B5" s="316" t="s">
        <v>1739</v>
      </c>
      <c r="C5" s="317" t="s">
        <v>1740</v>
      </c>
      <c r="D5" s="316" t="s">
        <v>1741</v>
      </c>
      <c r="E5" s="316" t="s">
        <v>1742</v>
      </c>
      <c r="F5" s="316" t="s">
        <v>1063</v>
      </c>
      <c r="G5" s="316" t="s">
        <v>13</v>
      </c>
      <c r="H5" s="316" t="s">
        <v>1731</v>
      </c>
      <c r="I5" s="316" t="s">
        <v>1734</v>
      </c>
      <c r="J5" s="318" t="s"/>
      <c r="K5" s="318" t="s"/>
      <c r="L5" s="318" t="s"/>
      <c r="M5" s="318" t="s"/>
      <c r="N5" s="318" t="s"/>
      <c r="O5" s="318" t="s"/>
      <c r="P5" s="318" t="s"/>
      <c r="Q5" s="318" t="s"/>
      <c r="R5" s="318" t="s"/>
      <c r="S5" s="318" t="s"/>
      <c r="T5" s="318" t="s"/>
      <c r="U5" s="318" t="s"/>
      <c r="V5" s="318" t="s"/>
      <c r="W5" s="318" t="s"/>
      <c r="X5" s="318" t="s"/>
      <c r="Y5" s="318" t="s"/>
      <c r="Z5" s="318" t="s"/>
    </row>
    <row r="6" spans="1:26" s="472" customFormat="true">
      <c r="A6" s="315" t="s"/>
      <c r="B6" s="316" t="s">
        <v>1743</v>
      </c>
      <c r="C6" s="317" t="s">
        <v>1744</v>
      </c>
      <c r="D6" s="316" t="s">
        <v>1745</v>
      </c>
      <c r="E6" s="316" t="s">
        <v>1746</v>
      </c>
      <c r="F6" s="316" t="s">
        <v>1063</v>
      </c>
      <c r="G6" s="316" t="s">
        <v>13</v>
      </c>
      <c r="H6" s="316" t="s">
        <v>1731</v>
      </c>
      <c r="I6" s="316" t="s">
        <v>1747</v>
      </c>
      <c r="J6" s="318" t="s"/>
      <c r="K6" s="318" t="s"/>
      <c r="L6" s="318" t="s"/>
      <c r="M6" s="318" t="s"/>
      <c r="N6" s="318" t="s"/>
      <c r="O6" s="318" t="s"/>
      <c r="P6" s="318" t="s"/>
      <c r="Q6" s="318" t="s"/>
      <c r="R6" s="318" t="s"/>
      <c r="S6" s="318" t="s"/>
      <c r="T6" s="318" t="s"/>
      <c r="U6" s="318" t="s"/>
      <c r="V6" s="318" t="s"/>
      <c r="W6" s="318" t="s"/>
      <c r="X6" s="318" t="s"/>
      <c r="Y6" s="318" t="s"/>
      <c r="Z6" s="318" t="s"/>
    </row>
    <row r="7" spans="1:9">
      <c r="A7" s="126" t="s"/>
      <c r="B7" s="88" t="s">
        <v>1748</v>
      </c>
      <c r="C7" s="314" t="s">
        <v>1749</v>
      </c>
      <c r="D7" s="88" t="s">
        <v>1748</v>
      </c>
      <c r="E7" s="88" t="s">
        <v>1750</v>
      </c>
      <c r="F7" s="88" t="s">
        <v>1063</v>
      </c>
      <c r="G7" s="88" t="s">
        <v>13</v>
      </c>
      <c r="H7" s="88" t="s">
        <v>1731</v>
      </c>
      <c r="I7" s="88" t="s">
        <v>1734</v>
      </c>
    </row>
    <row r="8" spans="1:9">
      <c r="A8" s="126" t="s"/>
      <c r="B8" s="88" t="s">
        <v>1751</v>
      </c>
      <c r="C8" s="319" t="s">
        <v>1752</v>
      </c>
      <c r="D8" s="88" t="s">
        <v>1751</v>
      </c>
      <c r="E8" s="88" t="s">
        <v>1753</v>
      </c>
      <c r="F8" s="88" t="s">
        <v>1063</v>
      </c>
      <c r="G8" s="88" t="s">
        <v>13</v>
      </c>
      <c r="H8" s="88" t="s">
        <v>1731</v>
      </c>
      <c r="I8" s="88" t="s">
        <v>1734</v>
      </c>
    </row>
    <row r="9" spans="1:9">
      <c r="A9" s="126" t="s"/>
      <c r="B9" s="88" t="s">
        <v>1754</v>
      </c>
      <c r="C9" s="314" t="s">
        <v>1755</v>
      </c>
      <c r="D9" s="88" t="s">
        <v>1754</v>
      </c>
      <c r="E9" s="88" t="s">
        <v>1756</v>
      </c>
      <c r="F9" s="88" t="s">
        <v>1063</v>
      </c>
      <c r="G9" s="88" t="s">
        <v>13</v>
      </c>
      <c r="H9" s="88" t="s">
        <v>1731</v>
      </c>
      <c r="I9" s="88" t="s">
        <v>1734</v>
      </c>
    </row>
    <row r="10" spans="1:9">
      <c r="A10" s="126" t="s"/>
      <c r="B10" s="88" t="s">
        <v>1757</v>
      </c>
      <c r="C10" s="314" t="s">
        <v>1758</v>
      </c>
      <c r="D10" s="88" t="s">
        <v>1757</v>
      </c>
      <c r="E10" s="88" t="s">
        <v>1759</v>
      </c>
      <c r="F10" s="88" t="s">
        <v>1063</v>
      </c>
      <c r="G10" s="88" t="s">
        <v>13</v>
      </c>
      <c r="H10" s="88" t="s">
        <v>1731</v>
      </c>
      <c r="I10" s="88" t="s">
        <v>1734</v>
      </c>
    </row>
    <row r="11" spans="1:9">
      <c r="A11" s="126" t="s"/>
      <c r="B11" s="88" t="s">
        <v>1760</v>
      </c>
      <c r="C11" s="314" t="s">
        <v>1761</v>
      </c>
      <c r="D11" s="88" t="s">
        <v>1760</v>
      </c>
      <c r="E11" s="88" t="s">
        <v>1762</v>
      </c>
      <c r="F11" s="88" t="s">
        <v>1063</v>
      </c>
      <c r="G11" s="88" t="s">
        <v>13</v>
      </c>
      <c r="H11" s="88" t="s">
        <v>1731</v>
      </c>
      <c r="I11" s="88" t="s">
        <v>1734</v>
      </c>
    </row>
    <row r="12" spans="1:9">
      <c r="A12" s="126" t="s"/>
      <c r="B12" s="88" t="s">
        <v>1763</v>
      </c>
      <c r="C12" s="314" t="s">
        <v>1764</v>
      </c>
      <c r="D12" s="88" t="s">
        <v>1763</v>
      </c>
      <c r="E12" s="88" t="s">
        <v>1765</v>
      </c>
      <c r="F12" s="88" t="s">
        <v>1063</v>
      </c>
      <c r="G12" s="88" t="s">
        <v>13</v>
      </c>
      <c r="H12" s="88" t="s">
        <v>1731</v>
      </c>
      <c r="I12" s="88" t="s">
        <v>1734</v>
      </c>
    </row>
    <row r="13" spans="1:9">
      <c r="A13" s="126" t="s"/>
      <c r="B13" s="88" t="s">
        <v>1766</v>
      </c>
      <c r="C13" s="314" t="s">
        <v>1767</v>
      </c>
      <c r="D13" s="88" t="s">
        <v>1766</v>
      </c>
      <c r="E13" s="88" t="s">
        <v>1768</v>
      </c>
      <c r="F13" s="88" t="s">
        <v>1063</v>
      </c>
      <c r="G13" s="88" t="s">
        <v>13</v>
      </c>
      <c r="H13" s="88" t="s">
        <v>1731</v>
      </c>
      <c r="I13" s="88" t="s">
        <v>1734</v>
      </c>
    </row>
    <row r="14" spans="1:9">
      <c r="A14" s="126" t="s"/>
      <c r="B14" s="88" t="s">
        <v>1769</v>
      </c>
      <c r="C14" s="320" t="s">
        <v>1770</v>
      </c>
      <c r="D14" s="88" t="s">
        <v>1769</v>
      </c>
      <c r="E14" s="88" t="s">
        <v>1771</v>
      </c>
      <c r="F14" s="88" t="s">
        <v>1063</v>
      </c>
      <c r="G14" s="88" t="s">
        <v>13</v>
      </c>
      <c r="H14" s="88" t="s">
        <v>1731</v>
      </c>
      <c r="I14" s="88" t="s">
        <v>1734</v>
      </c>
    </row>
    <row r="15" spans="1:9">
      <c r="A15" s="126" t="s"/>
      <c r="B15" s="88" t="s">
        <v>1772</v>
      </c>
      <c r="C15" s="314" t="s">
        <v>1773</v>
      </c>
      <c r="D15" s="88" t="s">
        <v>1772</v>
      </c>
      <c r="E15" s="88" t="s">
        <v>1774</v>
      </c>
      <c r="F15" s="88" t="s">
        <v>1063</v>
      </c>
      <c r="G15" s="88" t="s">
        <v>13</v>
      </c>
      <c r="H15" s="88" t="s">
        <v>1731</v>
      </c>
      <c r="I15" s="88" t="s">
        <v>1734</v>
      </c>
    </row>
    <row r="16" spans="1:9">
      <c r="A16" s="126" t="s"/>
      <c r="B16" s="88" t="s">
        <v>1775</v>
      </c>
      <c r="C16" s="314" t="s">
        <v>1776</v>
      </c>
      <c r="D16" s="88" t="s">
        <v>1775</v>
      </c>
      <c r="E16" s="88" t="s">
        <v>1777</v>
      </c>
      <c r="F16" s="88" t="s">
        <v>1063</v>
      </c>
      <c r="G16" s="88" t="s">
        <v>13</v>
      </c>
      <c r="H16" s="88" t="s">
        <v>1731</v>
      </c>
      <c r="I16" s="88" t="s">
        <v>1734</v>
      </c>
    </row>
    <row r="17" spans="1:9">
      <c r="A17" s="126" t="s"/>
      <c r="B17" s="88" t="s">
        <v>1778</v>
      </c>
      <c r="C17" s="314" t="s">
        <v>1779</v>
      </c>
      <c r="D17" s="88" t="s">
        <v>1778</v>
      </c>
      <c r="E17" s="88" t="s">
        <v>1780</v>
      </c>
      <c r="F17" s="88" t="s">
        <v>1290</v>
      </c>
      <c r="G17" s="88" t="s">
        <v>13</v>
      </c>
      <c r="H17" s="88" t="s">
        <v>1731</v>
      </c>
      <c r="I17" s="88" t="s">
        <v>1734</v>
      </c>
    </row>
    <row r="18" spans="1:9">
      <c r="A18" s="126" t="s"/>
      <c r="B18" s="88" t="s">
        <v>1781</v>
      </c>
      <c r="C18" s="314" t="s">
        <v>1782</v>
      </c>
      <c r="D18" s="88" t="s">
        <v>1781</v>
      </c>
      <c r="E18" s="88" t="s">
        <v>1783</v>
      </c>
      <c r="F18" s="88" t="s">
        <v>1784</v>
      </c>
      <c r="G18" s="88" t="s">
        <v>13</v>
      </c>
      <c r="H18" s="88" t="s">
        <v>1731</v>
      </c>
      <c r="I18" s="88" t="s">
        <v>1734</v>
      </c>
    </row>
    <row r="19" spans="1:9">
      <c r="A19" s="126" t="s"/>
      <c r="B19" s="88" t="s">
        <v>1785</v>
      </c>
      <c r="C19" s="314" t="s">
        <v>1786</v>
      </c>
      <c r="D19" s="88" t="s">
        <v>1785</v>
      </c>
      <c r="E19" s="88" t="s">
        <v>1787</v>
      </c>
      <c r="F19" s="88" t="s">
        <v>1063</v>
      </c>
      <c r="G19" s="88" t="s">
        <v>13</v>
      </c>
      <c r="H19" s="88" t="s">
        <v>1731</v>
      </c>
      <c r="I19" s="88" t="s">
        <v>1734</v>
      </c>
    </row>
    <row r="20" spans="1:9">
      <c r="A20" s="126" t="s"/>
      <c r="B20" s="88" t="s">
        <v>1788</v>
      </c>
      <c r="C20" s="314" t="s">
        <v>1789</v>
      </c>
      <c r="D20" s="88" t="s">
        <v>1788</v>
      </c>
      <c r="E20" s="88" t="s">
        <v>1790</v>
      </c>
      <c r="F20" s="88" t="s">
        <v>1063</v>
      </c>
      <c r="G20" s="88" t="s">
        <v>13</v>
      </c>
      <c r="H20" s="88" t="s">
        <v>1731</v>
      </c>
      <c r="I20" s="88" t="s">
        <v>1734</v>
      </c>
    </row>
    <row r="21" spans="1:9">
      <c r="A21" s="126" t="s"/>
      <c r="B21" s="88" t="s">
        <v>1791</v>
      </c>
      <c r="C21" s="314" t="s">
        <v>1792</v>
      </c>
      <c r="D21" s="88" t="s">
        <v>1793</v>
      </c>
      <c r="E21" s="88" t="s">
        <v>1794</v>
      </c>
      <c r="F21" s="88" t="s">
        <v>1290</v>
      </c>
      <c r="G21" s="88" t="s">
        <v>13</v>
      </c>
      <c r="H21" s="88" t="s">
        <v>1731</v>
      </c>
      <c r="I21" s="88" t="s">
        <v>1795</v>
      </c>
    </row>
    <row r="22" spans="1:9">
      <c r="A22" s="126" t="s"/>
      <c r="B22" s="88" t="s">
        <v>1796</v>
      </c>
      <c r="C22" s="314" t="s">
        <v>1797</v>
      </c>
      <c r="D22" s="88" t="s">
        <v>1796</v>
      </c>
      <c r="E22" s="88" t="s">
        <v>1798</v>
      </c>
      <c r="F22" s="88" t="s">
        <v>1063</v>
      </c>
      <c r="G22" s="88" t="s">
        <v>13</v>
      </c>
      <c r="H22" s="88" t="s">
        <v>1731</v>
      </c>
      <c r="I22" s="88" t="s">
        <v>1747</v>
      </c>
    </row>
    <row r="23" spans="1:9">
      <c r="A23" s="126" t="s"/>
      <c r="B23" s="126" t="s"/>
      <c r="C23" s="321" t="s"/>
      <c r="D23" s="88" t="s">
        <v>323</v>
      </c>
      <c r="E23" s="88" t="s">
        <v>324</v>
      </c>
      <c r="F23" s="88" t="s">
        <v>12</v>
      </c>
      <c r="G23" s="88" t="s">
        <v>13</v>
      </c>
      <c r="H23" s="88" t="s">
        <v>1731</v>
      </c>
      <c r="I23" s="88" t="s">
        <v>1719</v>
      </c>
    </row>
    <row r="25" spans="1:9">
      <c r="A25" s="126" t="s"/>
      <c r="B25" s="126" t="s"/>
      <c r="C25" s="321" t="s"/>
      <c r="D25" s="88" t="s">
        <v>1730</v>
      </c>
      <c r="E25" s="12" t="s">
        <v>11</v>
      </c>
      <c r="F25" s="88" t="s">
        <v>12</v>
      </c>
      <c r="G25" s="88" t="s">
        <v>13</v>
      </c>
      <c r="H25" s="88" t="s">
        <v>1799</v>
      </c>
      <c r="I25" s="126" t="s"/>
    </row>
    <row r="26" spans="1:9">
      <c r="A26" s="126" t="s"/>
      <c r="B26" s="126" t="s"/>
      <c r="C26" s="321" t="s"/>
      <c r="D26" s="88" t="s">
        <v>22</v>
      </c>
      <c r="E26" s="88" t="s">
        <v>23</v>
      </c>
      <c r="F26" s="88" t="s">
        <v>24</v>
      </c>
      <c r="G26" s="88" t="s">
        <v>19</v>
      </c>
      <c r="H26" s="88" t="s">
        <v>1799</v>
      </c>
      <c r="I26" s="126" t="s"/>
    </row>
    <row r="27" spans="1:9">
      <c r="A27" s="126" t="s"/>
      <c r="B27" s="88" t="s">
        <v>1800</v>
      </c>
      <c r="C27" s="314" t="s">
        <v>1801</v>
      </c>
      <c r="D27" s="88" t="s">
        <v>1802</v>
      </c>
      <c r="E27" s="88" t="s">
        <v>1803</v>
      </c>
      <c r="F27" s="88" t="s">
        <v>1063</v>
      </c>
      <c r="G27" s="88" t="s">
        <v>19</v>
      </c>
      <c r="H27" s="88" t="s">
        <v>1799</v>
      </c>
      <c r="I27" s="88" t="s">
        <v>1747</v>
      </c>
    </row>
    <row r="28" spans="1:9">
      <c r="A28" s="126" t="s"/>
      <c r="B28" s="88" t="s">
        <v>1804</v>
      </c>
      <c r="C28" s="314" t="s">
        <v>1805</v>
      </c>
      <c r="D28" s="88" t="s">
        <v>1806</v>
      </c>
      <c r="E28" s="88" t="s">
        <v>1807</v>
      </c>
      <c r="F28" s="88" t="s">
        <v>1063</v>
      </c>
      <c r="G28" s="88" t="s">
        <v>19</v>
      </c>
      <c r="H28" s="88" t="s">
        <v>1799</v>
      </c>
      <c r="I28" s="88" t="s">
        <v>1747</v>
      </c>
    </row>
    <row r="29" spans="1:9">
      <c r="A29" s="126" t="s"/>
      <c r="B29" s="88" t="s">
        <v>1057</v>
      </c>
      <c r="C29" s="314" t="s">
        <v>1808</v>
      </c>
      <c r="D29" s="88" t="s">
        <v>1809</v>
      </c>
      <c r="E29" s="88" t="s">
        <v>1810</v>
      </c>
      <c r="F29" s="88" t="s">
        <v>1290</v>
      </c>
      <c r="G29" s="88" t="s">
        <v>19</v>
      </c>
      <c r="H29" s="88" t="s">
        <v>1799</v>
      </c>
      <c r="I29" s="88" t="s">
        <v>1747</v>
      </c>
    </row>
    <row r="30" spans="1:9">
      <c r="A30" s="126" t="s"/>
      <c r="B30" s="88" t="s">
        <v>1057</v>
      </c>
      <c r="C30" s="314" t="s">
        <v>1811</v>
      </c>
      <c r="D30" s="88" t="s">
        <v>1812</v>
      </c>
      <c r="E30" s="88" t="s">
        <v>1813</v>
      </c>
      <c r="F30" s="88" t="s">
        <v>119</v>
      </c>
      <c r="G30" s="88" t="s">
        <v>19</v>
      </c>
      <c r="H30" s="88" t="s">
        <v>1799</v>
      </c>
      <c r="I30" s="88" t="s">
        <v>1747</v>
      </c>
    </row>
    <row r="31" spans="1:9">
      <c r="A31" s="126" t="s"/>
      <c r="B31" s="88" t="s">
        <v>1814</v>
      </c>
      <c r="C31" s="314" t="s">
        <v>1815</v>
      </c>
      <c r="D31" s="88" t="s">
        <v>1816</v>
      </c>
      <c r="E31" s="88" t="s">
        <v>1817</v>
      </c>
      <c r="F31" s="88" t="s">
        <v>1229</v>
      </c>
      <c r="G31" s="88" t="s">
        <v>19</v>
      </c>
      <c r="H31" s="88" t="s">
        <v>1799</v>
      </c>
      <c r="I31" s="88" t="s">
        <v>1747</v>
      </c>
    </row>
    <row r="32" spans="1:9">
      <c r="A32" s="126" t="s"/>
      <c r="B32" s="88" t="s">
        <v>1818</v>
      </c>
      <c r="C32" s="314" t="s">
        <v>1819</v>
      </c>
      <c r="D32" s="88" t="s">
        <v>1818</v>
      </c>
      <c r="E32" s="88" t="s">
        <v>1820</v>
      </c>
      <c r="F32" s="88" t="s">
        <v>85</v>
      </c>
      <c r="G32" s="88" t="s">
        <v>19</v>
      </c>
      <c r="H32" s="88" t="s">
        <v>1799</v>
      </c>
      <c r="I32" s="88" t="s">
        <v>1747</v>
      </c>
    </row>
    <row r="33" spans="1:9">
      <c r="A33" s="126" t="s"/>
      <c r="B33" s="88" t="s">
        <v>1821</v>
      </c>
      <c r="C33" s="314" t="s">
        <v>1822</v>
      </c>
      <c r="D33" s="88" t="s">
        <v>1823</v>
      </c>
      <c r="E33" s="88" t="s">
        <v>1824</v>
      </c>
      <c r="F33" s="88" t="s">
        <v>1162</v>
      </c>
      <c r="G33" s="88" t="s">
        <v>19</v>
      </c>
      <c r="H33" s="88" t="s">
        <v>1799</v>
      </c>
      <c r="I33" s="88" t="s">
        <v>1747</v>
      </c>
    </row>
    <row r="34" spans="1:9">
      <c r="A34" s="126" t="s"/>
      <c r="B34" s="88" t="s">
        <v>1825</v>
      </c>
      <c r="C34" s="314" t="s">
        <v>1826</v>
      </c>
      <c r="D34" s="88" t="s">
        <v>1827</v>
      </c>
      <c r="E34" s="88" t="s">
        <v>1828</v>
      </c>
      <c r="F34" s="88" t="s">
        <v>1162</v>
      </c>
      <c r="G34" s="88" t="s">
        <v>19</v>
      </c>
      <c r="H34" s="88" t="s">
        <v>1799</v>
      </c>
      <c r="I34" s="88" t="s">
        <v>1747</v>
      </c>
    </row>
    <row r="35" spans="1:9">
      <c r="A35" s="126" t="s"/>
      <c r="B35" s="126" t="s"/>
      <c r="C35" s="321" t="s"/>
      <c r="D35" s="88" t="s">
        <v>117</v>
      </c>
      <c r="E35" s="88" t="s">
        <v>118</v>
      </c>
      <c r="F35" s="88" t="s">
        <v>119</v>
      </c>
      <c r="G35" s="88" t="s">
        <v>19</v>
      </c>
      <c r="H35" s="88" t="s">
        <v>1799</v>
      </c>
      <c r="I35" s="126" t="s"/>
    </row>
  </sheetData>
</worksheet>
</file>

<file path=xl/worksheets/sheet18.xml><?xml version="1.0" encoding="utf-8"?>
<worksheet xmlns="http://schemas.openxmlformats.org/spreadsheetml/2006/main">
  <sheetPr codeName="dn case history">
    <tabColor rgb="FFFFFFFF"/>
  </sheetPr>
  <dimension ref="I38"/>
  <sheetViews>
    <sheetView showGridLines="true" workbookViewId="0"/>
  </sheetViews>
  <sheetFormatPr baseColWidth="13" defaultRowHeight="18" customHeight="true"/>
  <cols>
    <col min="1" max="1" width="6.60156" customWidth="true"/>
    <col min="2" max="2" width="24.6211" customWidth="true"/>
    <col min="3" max="3" width="23.793" customWidth="true"/>
    <col min="4" max="4" width="13.7031" customWidth="true"/>
    <col min="5" max="5" width="18.8008" customWidth="true"/>
    <col min="6" max="6" width="19.9609" customWidth="true"/>
    <col min="7" max="7" width="15.7812" customWidth="true"/>
    <col min="8" max="8" width="28.5938" customWidth="true"/>
    <col min="9" max="9" width="13.8906" customWidth="true"/>
  </cols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10">
      <c r="A2" s="46" t="s"/>
      <c r="B2" s="46" t="s"/>
      <c r="C2" s="46" t="s"/>
      <c r="D2" s="46" t="s">
        <v>2666</v>
      </c>
      <c r="E2" s="46" t="s">
        <v>2667</v>
      </c>
      <c r="F2" s="46" t="s">
        <v>12</v>
      </c>
      <c r="G2" s="46" t="s">
        <v>13</v>
      </c>
      <c r="H2" s="383" t="s">
        <v>180</v>
      </c>
      <c r="I2" s="46" t="s"/>
      <c r="J2" s="384" t="s"/>
    </row>
    <row r="3" spans="1:10">
      <c r="A3" s="46" t="s"/>
      <c r="B3" s="46" t="s">
        <v>2668</v>
      </c>
      <c r="C3" s="46" t="s">
        <v>2669</v>
      </c>
      <c r="D3" s="46" t="s">
        <v>2670</v>
      </c>
      <c r="E3" s="46" t="s">
        <v>2671</v>
      </c>
      <c r="F3" s="46" t="s">
        <v>12</v>
      </c>
      <c r="G3" s="46" t="s">
        <v>13</v>
      </c>
      <c r="H3" s="383" t="s">
        <v>180</v>
      </c>
      <c r="I3" s="46" t="s"/>
      <c r="J3" s="384" t="s"/>
    </row>
    <row r="4" spans="1:10">
      <c r="A4" s="46" t="s"/>
      <c r="B4" s="46" t="s">
        <v>391</v>
      </c>
      <c r="C4" s="46" t="s">
        <v>2672</v>
      </c>
      <c r="D4" s="46" t="s">
        <v>278</v>
      </c>
      <c r="E4" s="46" t="s">
        <v>279</v>
      </c>
      <c r="F4" s="46" t="s">
        <v>12</v>
      </c>
      <c r="G4" s="46" t="s">
        <v>13</v>
      </c>
      <c r="H4" s="383" t="s">
        <v>180</v>
      </c>
      <c r="I4" s="46" t="s"/>
      <c r="J4" s="384" t="s"/>
    </row>
    <row r="5" spans="1:10">
      <c r="A5" s="46" t="s"/>
      <c r="B5" s="46" t="s">
        <v>2673</v>
      </c>
      <c r="C5" s="46" t="s">
        <v>2674</v>
      </c>
      <c r="D5" s="46" t="s">
        <v>2353</v>
      </c>
      <c r="E5" s="46" t="s">
        <v>54</v>
      </c>
      <c r="F5" s="46" t="s">
        <v>12</v>
      </c>
      <c r="G5" s="46" t="s">
        <v>13</v>
      </c>
      <c r="H5" s="383" t="s">
        <v>180</v>
      </c>
      <c r="I5" s="46" t="s"/>
      <c r="J5" s="384" t="s"/>
    </row>
    <row r="6" spans="1:10">
      <c r="A6" s="46" t="s"/>
      <c r="B6" s="46" t="s">
        <v>2675</v>
      </c>
      <c r="C6" s="46" t="s">
        <v>2356</v>
      </c>
      <c r="D6" s="46" t="s">
        <v>2356</v>
      </c>
      <c r="E6" s="46" t="s">
        <v>2676</v>
      </c>
      <c r="F6" s="46" t="s">
        <v>12</v>
      </c>
      <c r="G6" s="46" t="s">
        <v>13</v>
      </c>
      <c r="H6" s="383" t="s">
        <v>180</v>
      </c>
      <c r="I6" s="46" t="s"/>
      <c r="J6" s="384" t="s"/>
    </row>
    <row r="7" spans="1:10">
      <c r="A7" s="46" t="s"/>
      <c r="B7" s="46" t="s">
        <v>2677</v>
      </c>
      <c r="C7" s="46" t="s">
        <v>2678</v>
      </c>
      <c r="D7" s="46" t="s">
        <v>2679</v>
      </c>
      <c r="E7" s="46" t="s">
        <v>2680</v>
      </c>
      <c r="F7" s="46" t="s">
        <v>119</v>
      </c>
      <c r="G7" s="46" t="s">
        <v>13</v>
      </c>
      <c r="H7" s="383" t="s">
        <v>180</v>
      </c>
      <c r="I7" s="46" t="s"/>
      <c r="J7" s="384" t="s"/>
    </row>
    <row r="8" spans="1:10">
      <c r="A8" s="46" t="s"/>
      <c r="B8" s="46" t="s">
        <v>2681</v>
      </c>
      <c r="C8" s="46" t="s">
        <v>2682</v>
      </c>
      <c r="D8" s="46" t="s">
        <v>2683</v>
      </c>
      <c r="E8" s="46" t="s">
        <v>2684</v>
      </c>
      <c r="F8" s="46" t="s">
        <v>119</v>
      </c>
      <c r="G8" s="46" t="s">
        <v>13</v>
      </c>
      <c r="H8" s="383" t="s">
        <v>180</v>
      </c>
      <c r="I8" s="46" t="s"/>
      <c r="J8" s="384" t="s"/>
    </row>
    <row r="9" spans="1:10">
      <c r="A9" s="46" t="s"/>
      <c r="B9" s="46" t="s">
        <v>2685</v>
      </c>
      <c r="C9" s="46" t="s">
        <v>2686</v>
      </c>
      <c r="D9" s="46" t="s">
        <v>38</v>
      </c>
      <c r="E9" s="46" t="s">
        <v>39</v>
      </c>
      <c r="F9" s="46" t="s">
        <v>12</v>
      </c>
      <c r="G9" s="46" t="s">
        <v>13</v>
      </c>
      <c r="H9" s="383" t="s">
        <v>180</v>
      </c>
      <c r="I9" s="46" t="s"/>
      <c r="J9" s="384" t="s"/>
    </row>
    <row r="10" spans="1:10">
      <c r="A10" s="46" t="s"/>
      <c r="B10" s="46" t="s">
        <v>2687</v>
      </c>
      <c r="C10" s="46" t="s">
        <v>2688</v>
      </c>
      <c r="D10" s="46" t="s">
        <v>2689</v>
      </c>
      <c r="E10" s="46" t="s">
        <v>2690</v>
      </c>
      <c r="F10" s="46" t="s">
        <v>12</v>
      </c>
      <c r="G10" s="46" t="s">
        <v>13</v>
      </c>
      <c r="H10" s="383" t="s">
        <v>180</v>
      </c>
      <c r="I10" s="46" t="s"/>
      <c r="J10" s="384" t="s"/>
    </row>
    <row r="11" spans="1:10">
      <c r="A11" s="46" t="s"/>
      <c r="B11" s="46" t="s">
        <v>2691</v>
      </c>
      <c r="C11" s="46" t="s">
        <v>2692</v>
      </c>
      <c r="D11" s="46" t="s">
        <v>2692</v>
      </c>
      <c r="E11" s="46" t="s">
        <v>2693</v>
      </c>
      <c r="F11" s="46" t="s">
        <v>12</v>
      </c>
      <c r="G11" s="46" t="s">
        <v>13</v>
      </c>
      <c r="H11" s="383" t="s">
        <v>180</v>
      </c>
      <c r="I11" s="46" t="s"/>
      <c r="J11" s="384" t="s"/>
    </row>
    <row r="12" spans="1:10">
      <c r="A12" s="46" t="s"/>
      <c r="B12" s="46" t="s"/>
      <c r="C12" s="46" t="s"/>
      <c r="D12" s="46" t="s">
        <v>323</v>
      </c>
      <c r="E12" s="107" t="s">
        <v>324</v>
      </c>
      <c r="F12" s="46" t="s">
        <v>12</v>
      </c>
      <c r="G12" s="46" t="s">
        <v>13</v>
      </c>
      <c r="H12" s="383" t="s">
        <v>180</v>
      </c>
      <c r="I12" s="46" t="s">
        <v>1713</v>
      </c>
      <c r="J12" s="384" t="s"/>
    </row>
    <row r="13" spans="1:9">
      <c r="A13" s="59" t="s"/>
      <c r="B13" s="59" t="s"/>
      <c r="C13" s="59" t="s"/>
      <c r="D13" s="59" t="s"/>
      <c r="E13" s="59" t="s"/>
      <c r="F13" s="59" t="s"/>
      <c r="G13" s="59" t="s"/>
      <c r="H13" s="385" t="s"/>
      <c r="I13" s="59" t="s"/>
    </row>
    <row r="14" spans="1:9">
      <c r="A14" s="59" t="s"/>
      <c r="B14" s="59" t="s"/>
      <c r="C14" s="59" t="s"/>
      <c r="D14" s="46" t="s">
        <v>2666</v>
      </c>
      <c r="E14" s="46" t="s">
        <v>2667</v>
      </c>
      <c r="F14" s="46" t="s">
        <v>12</v>
      </c>
      <c r="G14" s="46" t="s">
        <v>13</v>
      </c>
      <c r="H14" s="386" t="s">
        <v>183</v>
      </c>
      <c r="I14" s="59" t="s"/>
    </row>
    <row r="15" spans="1:9">
      <c r="A15" s="59" t="s"/>
      <c r="B15" s="59" t="s"/>
      <c r="C15" s="59" t="s"/>
      <c r="D15" s="46" t="s">
        <v>22</v>
      </c>
      <c r="E15" s="46" t="s">
        <v>23</v>
      </c>
      <c r="F15" s="46" t="s">
        <v>24</v>
      </c>
      <c r="G15" s="46" t="s">
        <v>19</v>
      </c>
      <c r="H15" s="386" t="s">
        <v>183</v>
      </c>
      <c r="I15" s="59" t="s"/>
    </row>
    <row r="16" spans="1:10">
      <c r="A16" s="46" t="s"/>
      <c r="B16" s="46" t="s">
        <v>2694</v>
      </c>
      <c r="C16" s="46" t="s">
        <v>2695</v>
      </c>
      <c r="D16" s="46" t="s">
        <v>2696</v>
      </c>
      <c r="E16" s="46" t="s">
        <v>2697</v>
      </c>
      <c r="F16" s="46" t="s">
        <v>1290</v>
      </c>
      <c r="G16" s="49" t="s">
        <v>19</v>
      </c>
      <c r="H16" s="386" t="s">
        <v>183</v>
      </c>
      <c r="I16" s="46" t="s"/>
      <c r="J16" s="384" t="s"/>
    </row>
    <row r="17" spans="1:10">
      <c r="A17" s="46" t="s"/>
      <c r="B17" s="46" t="s">
        <v>2698</v>
      </c>
      <c r="C17" s="46" t="s">
        <v>2699</v>
      </c>
      <c r="D17" s="46" t="s">
        <v>2700</v>
      </c>
      <c r="E17" s="46" t="s">
        <v>2701</v>
      </c>
      <c r="F17" s="46" t="s">
        <v>12</v>
      </c>
      <c r="G17" s="49" t="s">
        <v>19</v>
      </c>
      <c r="H17" s="386" t="s">
        <v>183</v>
      </c>
      <c r="I17" s="46" t="s"/>
      <c r="J17" s="384" t="s"/>
    </row>
    <row r="18" spans="1:10">
      <c r="A18" s="46" t="s"/>
      <c r="B18" s="46" t="s">
        <v>2702</v>
      </c>
      <c r="C18" s="46" t="s">
        <v>2703</v>
      </c>
      <c r="D18" s="46" t="s">
        <v>2704</v>
      </c>
      <c r="E18" s="46" t="s">
        <v>2705</v>
      </c>
      <c r="F18" s="46" t="s">
        <v>1063</v>
      </c>
      <c r="G18" s="49" t="s">
        <v>19</v>
      </c>
      <c r="H18" s="386" t="s">
        <v>183</v>
      </c>
      <c r="I18" s="46" t="s"/>
      <c r="J18" s="384" t="s"/>
    </row>
    <row r="19" spans="1:10">
      <c r="A19" s="46" t="s"/>
      <c r="B19" s="46" t="s">
        <v>2706</v>
      </c>
      <c r="C19" s="46" t="s">
        <v>2707</v>
      </c>
      <c r="D19" s="46" t="s">
        <v>2708</v>
      </c>
      <c r="E19" s="46" t="s">
        <v>2709</v>
      </c>
      <c r="F19" s="46" t="s">
        <v>1063</v>
      </c>
      <c r="G19" s="49" t="s">
        <v>19</v>
      </c>
      <c r="H19" s="386" t="s">
        <v>183</v>
      </c>
      <c r="I19" s="46" t="s"/>
      <c r="J19" s="384" t="s"/>
    </row>
    <row r="20" spans="1:10">
      <c r="A20" s="46" t="s"/>
      <c r="B20" s="46" t="s">
        <v>2710</v>
      </c>
      <c r="C20" s="46" t="s">
        <v>2711</v>
      </c>
      <c r="D20" s="46" t="s">
        <v>2712</v>
      </c>
      <c r="E20" s="46" t="s">
        <v>2713</v>
      </c>
      <c r="F20" s="46" t="s">
        <v>1290</v>
      </c>
      <c r="G20" s="49" t="s">
        <v>19</v>
      </c>
      <c r="H20" s="386" t="s">
        <v>183</v>
      </c>
      <c r="I20" s="46" t="s"/>
      <c r="J20" s="384" t="s"/>
    </row>
    <row r="21" spans="1:9">
      <c r="A21" s="46" t="s"/>
      <c r="B21" s="46" t="s">
        <v>2714</v>
      </c>
      <c r="C21" s="46" t="s">
        <v>2715</v>
      </c>
      <c r="D21" s="46" t="s">
        <v>2716</v>
      </c>
      <c r="E21" s="46" t="s">
        <v>2717</v>
      </c>
      <c r="F21" s="46" t="s">
        <v>1290</v>
      </c>
      <c r="G21" s="49" t="s">
        <v>19</v>
      </c>
      <c r="H21" s="386" t="s">
        <v>183</v>
      </c>
      <c r="I21" s="46" t="s"/>
    </row>
    <row r="22" spans="1:9">
      <c r="A22" s="46" t="s"/>
      <c r="B22" s="46" t="s">
        <v>2718</v>
      </c>
      <c r="C22" s="46" t="s">
        <v>2719</v>
      </c>
      <c r="D22" s="46" t="s">
        <v>2720</v>
      </c>
      <c r="E22" s="46" t="s">
        <v>2721</v>
      </c>
      <c r="F22" s="46" t="s">
        <v>119</v>
      </c>
      <c r="G22" s="49" t="s">
        <v>19</v>
      </c>
      <c r="H22" s="386" t="s">
        <v>183</v>
      </c>
      <c r="I22" s="46" t="s"/>
    </row>
    <row r="23" spans="1:10">
      <c r="A23" s="46" t="s"/>
      <c r="B23" s="46" t="s">
        <v>505</v>
      </c>
      <c r="C23" s="46" t="s">
        <v>506</v>
      </c>
      <c r="D23" s="46" t="s">
        <v>506</v>
      </c>
      <c r="E23" s="46" t="s">
        <v>507</v>
      </c>
      <c r="F23" s="46" t="s">
        <v>119</v>
      </c>
      <c r="G23" s="49" t="s">
        <v>19</v>
      </c>
      <c r="H23" s="386" t="s">
        <v>183</v>
      </c>
      <c r="I23" s="46" t="s"/>
      <c r="J23" s="384" t="s"/>
    </row>
    <row r="24" spans="1:10">
      <c r="A24" s="46" t="s"/>
      <c r="B24" s="46" t="s">
        <v>2722</v>
      </c>
      <c r="C24" s="46" t="s">
        <v>2723</v>
      </c>
      <c r="D24" s="46" t="s">
        <v>2724</v>
      </c>
      <c r="E24" s="46" t="s">
        <v>2725</v>
      </c>
      <c r="F24" s="46" t="s">
        <v>12</v>
      </c>
      <c r="G24" s="49" t="s">
        <v>19</v>
      </c>
      <c r="H24" s="386" t="s">
        <v>183</v>
      </c>
      <c r="I24" s="46" t="s"/>
      <c r="J24" s="384" t="s"/>
    </row>
    <row r="25" spans="1:10">
      <c r="A25" s="46" t="s"/>
      <c r="B25" s="46" t="s">
        <v>2388</v>
      </c>
      <c r="C25" s="46" t="s">
        <v>2726</v>
      </c>
      <c r="D25" s="46" t="s">
        <v>2390</v>
      </c>
      <c r="E25" s="46" t="s">
        <v>2391</v>
      </c>
      <c r="F25" s="46" t="s">
        <v>12</v>
      </c>
      <c r="G25" s="49" t="s">
        <v>19</v>
      </c>
      <c r="H25" s="386" t="s">
        <v>183</v>
      </c>
      <c r="I25" s="46" t="s"/>
      <c r="J25" s="384" t="s"/>
    </row>
    <row r="26" spans="1:10">
      <c r="A26" s="46" t="s"/>
      <c r="B26" s="46" t="s">
        <v>2727</v>
      </c>
      <c r="C26" s="46" t="s">
        <v>2728</v>
      </c>
      <c r="D26" s="46" t="s">
        <v>2729</v>
      </c>
      <c r="E26" s="46" t="s">
        <v>420</v>
      </c>
      <c r="F26" s="46" t="s">
        <v>12</v>
      </c>
      <c r="G26" s="49" t="s">
        <v>19</v>
      </c>
      <c r="H26" s="386" t="s">
        <v>183</v>
      </c>
      <c r="I26" s="46" t="s"/>
      <c r="J26" s="384" t="s"/>
    </row>
    <row r="27" spans="1:10">
      <c r="A27" s="46" t="s"/>
      <c r="B27" s="46" t="s">
        <v>2730</v>
      </c>
      <c r="C27" s="46" t="s">
        <v>2731</v>
      </c>
      <c r="D27" s="46" t="s">
        <v>2732</v>
      </c>
      <c r="E27" s="46" t="s">
        <v>2733</v>
      </c>
      <c r="F27" s="46" t="s">
        <v>258</v>
      </c>
      <c r="G27" s="49" t="s">
        <v>19</v>
      </c>
      <c r="H27" s="386" t="s">
        <v>183</v>
      </c>
      <c r="I27" s="46" t="s"/>
      <c r="J27" s="384" t="s"/>
    </row>
    <row r="28" spans="1:10">
      <c r="A28" s="46" t="s"/>
      <c r="B28" s="46" t="s">
        <v>2087</v>
      </c>
      <c r="C28" s="46" t="s">
        <v>2734</v>
      </c>
      <c r="D28" s="46" t="s">
        <v>1482</v>
      </c>
      <c r="E28" s="46" t="s">
        <v>1483</v>
      </c>
      <c r="F28" s="46" t="s">
        <v>12</v>
      </c>
      <c r="G28" s="49" t="s">
        <v>19</v>
      </c>
      <c r="H28" s="386" t="s">
        <v>183</v>
      </c>
      <c r="I28" s="46" t="s"/>
      <c r="J28" s="384" t="s"/>
    </row>
    <row r="29" spans="1:10">
      <c r="A29" s="46" t="s"/>
      <c r="B29" s="46" t="s">
        <v>2735</v>
      </c>
      <c r="C29" s="46" t="s">
        <v>2736</v>
      </c>
      <c r="D29" s="46" t="s">
        <v>2737</v>
      </c>
      <c r="E29" s="46" t="s">
        <v>2738</v>
      </c>
      <c r="F29" s="46" t="s">
        <v>12</v>
      </c>
      <c r="G29" s="49" t="s">
        <v>19</v>
      </c>
      <c r="H29" s="386" t="s">
        <v>183</v>
      </c>
      <c r="I29" s="46" t="s"/>
      <c r="J29" s="384" t="s"/>
    </row>
    <row r="30" spans="1:10">
      <c r="A30" s="46" t="s"/>
      <c r="B30" s="46" t="s">
        <v>2739</v>
      </c>
      <c r="C30" s="46" t="s">
        <v>2740</v>
      </c>
      <c r="D30" s="46" t="s">
        <v>2741</v>
      </c>
      <c r="E30" s="46" t="s">
        <v>2742</v>
      </c>
      <c r="F30" s="46" t="s">
        <v>1290</v>
      </c>
      <c r="G30" s="49" t="s">
        <v>19</v>
      </c>
      <c r="H30" s="386" t="s">
        <v>183</v>
      </c>
      <c r="I30" s="46" t="s"/>
      <c r="J30" s="384" t="s"/>
    </row>
    <row r="31" spans="1:10">
      <c r="A31" s="46" t="s"/>
      <c r="B31" s="46" t="s">
        <v>2743</v>
      </c>
      <c r="C31" s="46" t="s">
        <v>2744</v>
      </c>
      <c r="D31" s="46" t="s">
        <v>2745</v>
      </c>
      <c r="E31" s="46" t="s">
        <v>2746</v>
      </c>
      <c r="F31" s="46" t="s">
        <v>258</v>
      </c>
      <c r="G31" s="49" t="s">
        <v>19</v>
      </c>
      <c r="H31" s="386" t="s">
        <v>183</v>
      </c>
      <c r="I31" s="46" t="s"/>
      <c r="J31" s="384" t="s"/>
    </row>
    <row r="32" spans="1:10">
      <c r="A32" s="46" t="s"/>
      <c r="B32" s="46" t="s">
        <v>2747</v>
      </c>
      <c r="C32" s="46" t="s">
        <v>2748</v>
      </c>
      <c r="D32" s="46" t="s">
        <v>2749</v>
      </c>
      <c r="E32" s="46" t="s">
        <v>2750</v>
      </c>
      <c r="F32" s="46" t="s">
        <v>258</v>
      </c>
      <c r="G32" s="49" t="s">
        <v>19</v>
      </c>
      <c r="H32" s="386" t="s">
        <v>183</v>
      </c>
      <c r="I32" s="46" t="s"/>
      <c r="J32" s="384" t="s"/>
    </row>
    <row r="33" spans="1:10">
      <c r="A33" s="46" t="s"/>
      <c r="B33" s="46" t="s">
        <v>2751</v>
      </c>
      <c r="C33" s="46" t="s">
        <v>2752</v>
      </c>
      <c r="D33" s="46" t="s">
        <v>746</v>
      </c>
      <c r="E33" s="46" t="s">
        <v>747</v>
      </c>
      <c r="F33" s="46" t="s">
        <v>1290</v>
      </c>
      <c r="G33" s="49" t="s">
        <v>19</v>
      </c>
      <c r="H33" s="386" t="s">
        <v>183</v>
      </c>
      <c r="I33" s="46" t="s"/>
      <c r="J33" s="384" t="s"/>
    </row>
    <row r="34" spans="1:10">
      <c r="A34" s="46" t="s"/>
      <c r="B34" s="46" t="s">
        <v>2753</v>
      </c>
      <c r="C34" s="46" t="s">
        <v>2754</v>
      </c>
      <c r="D34" s="46" t="s">
        <v>2755</v>
      </c>
      <c r="E34" s="46" t="s">
        <v>2756</v>
      </c>
      <c r="F34" s="46" t="s">
        <v>1290</v>
      </c>
      <c r="G34" s="49" t="s">
        <v>19</v>
      </c>
      <c r="H34" s="386" t="s">
        <v>183</v>
      </c>
      <c r="I34" s="46" t="s"/>
      <c r="J34" s="384" t="s"/>
    </row>
    <row r="35" spans="1:10">
      <c r="A35" s="46" t="s"/>
      <c r="B35" s="46" t="s">
        <v>2757</v>
      </c>
      <c r="C35" s="46" t="s">
        <v>2758</v>
      </c>
      <c r="D35" s="46" t="s">
        <v>2758</v>
      </c>
      <c r="E35" s="46" t="s">
        <v>2759</v>
      </c>
      <c r="F35" s="46" t="s">
        <v>12</v>
      </c>
      <c r="G35" s="49" t="s">
        <v>19</v>
      </c>
      <c r="H35" s="386" t="s">
        <v>183</v>
      </c>
      <c r="I35" s="46" t="s"/>
      <c r="J35" s="384" t="s"/>
    </row>
    <row r="36" spans="1:10">
      <c r="A36" s="46" t="s"/>
      <c r="B36" s="46" t="s">
        <v>2760</v>
      </c>
      <c r="C36" s="46" t="s">
        <v>2761</v>
      </c>
      <c r="D36" s="46" t="s">
        <v>2762</v>
      </c>
      <c r="E36" s="46" t="s">
        <v>2763</v>
      </c>
      <c r="F36" s="46" t="s">
        <v>119</v>
      </c>
      <c r="G36" s="49" t="s">
        <v>19</v>
      </c>
      <c r="H36" s="386" t="s">
        <v>183</v>
      </c>
      <c r="I36" s="46" t="s"/>
      <c r="J36" s="384" t="s"/>
    </row>
    <row r="37" spans="1:10">
      <c r="A37" s="46" t="s"/>
      <c r="B37" s="46" t="s">
        <v>2764</v>
      </c>
      <c r="C37" s="46" t="s">
        <v>2765</v>
      </c>
      <c r="D37" s="46" t="s">
        <v>2766</v>
      </c>
      <c r="E37" s="46" t="s">
        <v>2767</v>
      </c>
      <c r="F37" s="46" t="s">
        <v>12</v>
      </c>
      <c r="G37" s="49" t="s">
        <v>19</v>
      </c>
      <c r="H37" s="386" t="s">
        <v>183</v>
      </c>
      <c r="I37" s="46" t="s"/>
      <c r="J37" s="384" t="s"/>
    </row>
    <row r="38" spans="1:9">
      <c r="A38" s="59" t="s"/>
      <c r="B38" s="59" t="s"/>
      <c r="C38" s="59" t="s"/>
      <c r="D38" s="46" t="s">
        <v>117</v>
      </c>
      <c r="E38" s="46" t="s">
        <v>118</v>
      </c>
      <c r="F38" s="46" t="s">
        <v>119</v>
      </c>
      <c r="G38" s="46" t="s">
        <v>19</v>
      </c>
      <c r="H38" s="387" t="s">
        <v>183</v>
      </c>
      <c r="I38" s="59" t="s"/>
    </row>
  </sheetData>
</worksheet>
</file>

<file path=xl/worksheets/sheet19.xml><?xml version="1.0" encoding="utf-8"?>
<worksheet xmlns="http://schemas.openxmlformats.org/spreadsheetml/2006/main">
  <sheetPr codeName="defect bin of chamber">
    <tabColor rgb="FFFFFFFF"/>
  </sheetPr>
  <dimension ref="I24"/>
  <sheetViews>
    <sheetView showGridLines="true" workbookViewId="0"/>
  </sheetViews>
  <sheetFormatPr baseColWidth="13" defaultRowHeight="18" customHeight="true"/>
  <cols>
    <col min="1" max="1" width="56.7812" customWidth="true"/>
    <col min="2" max="2" width="28.5938" customWidth="true"/>
    <col min="3" max="3" width="53.6836" customWidth="true"/>
    <col min="4" max="4" width="25.6211" customWidth="true"/>
    <col min="5" max="5" width="27.1133" customWidth="true"/>
    <col min="6" max="6" width="29.7109" customWidth="true"/>
    <col min="7" max="7" width="28.7344" customWidth="true"/>
    <col min="8" max="8" width="34.2617" customWidth="true"/>
    <col min="9" max="9" width="132.711" customWidth="true"/>
  </cols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 s="474" customFormat="true">
      <c r="A2" s="5" t="s"/>
      <c r="B2" s="5" t="s"/>
      <c r="C2" s="5" t="s"/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/>
    </row>
    <row r="3" spans="1:9" s="474" customFormat="true">
      <c r="A3" s="5" t="s"/>
      <c r="B3" s="5" t="s"/>
      <c r="C3" s="5" t="s"/>
      <c r="D3" s="5" t="s">
        <v>15</v>
      </c>
      <c r="E3" s="5" t="s">
        <v>16</v>
      </c>
      <c r="F3" s="5" t="s">
        <v>12</v>
      </c>
      <c r="G3" s="5" t="s">
        <v>13</v>
      </c>
      <c r="H3" s="5" t="s">
        <v>14</v>
      </c>
      <c r="I3" s="5" t="s"/>
    </row>
    <row r="4" spans="1:9">
      <c r="A4" s="5" t="s">
        <v>17</v>
      </c>
      <c r="B4" s="5" t="s"/>
      <c r="C4" s="5" t="s">
        <v>18</v>
      </c>
      <c r="D4" s="5" t="s">
        <v>10</v>
      </c>
      <c r="E4" s="5" t="s">
        <v>11</v>
      </c>
      <c r="F4" s="5" t="s">
        <v>12</v>
      </c>
      <c r="G4" s="5" t="s">
        <v>19</v>
      </c>
      <c r="H4" s="5" t="s">
        <v>20</v>
      </c>
      <c r="I4" s="5" t="s">
        <v>21</v>
      </c>
    </row>
    <row r="5" spans="1:9">
      <c r="A5" s="5" t="s"/>
      <c r="B5" s="5" t="s"/>
      <c r="C5" s="5" t="s">
        <v>22</v>
      </c>
      <c r="D5" s="5" t="s">
        <v>22</v>
      </c>
      <c r="E5" s="5" t="s">
        <v>23</v>
      </c>
      <c r="F5" s="5" t="s">
        <v>24</v>
      </c>
      <c r="G5" s="5" t="s">
        <v>19</v>
      </c>
      <c r="H5" s="5" t="s">
        <v>20</v>
      </c>
      <c r="I5" s="5" t="s">
        <v>25</v>
      </c>
    </row>
    <row r="6" spans="1:9">
      <c r="A6" s="5" t="s">
        <v>17</v>
      </c>
      <c r="B6" s="5" t="s">
        <v>26</v>
      </c>
      <c r="C6" s="6" t="s">
        <v>27</v>
      </c>
      <c r="D6" s="5" t="s">
        <v>28</v>
      </c>
      <c r="E6" s="5" t="s">
        <v>29</v>
      </c>
      <c r="F6" s="5" t="s">
        <v>12</v>
      </c>
      <c r="G6" s="5" t="s">
        <v>19</v>
      </c>
      <c r="H6" s="5" t="s">
        <v>20</v>
      </c>
      <c r="I6" s="5" t="s">
        <v>30</v>
      </c>
    </row>
    <row r="7" spans="1:9">
      <c r="A7" s="5" t="s">
        <v>17</v>
      </c>
      <c r="B7" s="5" t="s">
        <v>31</v>
      </c>
      <c r="C7" s="6" t="s">
        <v>32</v>
      </c>
      <c r="D7" s="5" t="s">
        <v>33</v>
      </c>
      <c r="E7" s="5" t="s">
        <v>34</v>
      </c>
      <c r="F7" s="5" t="s">
        <v>12</v>
      </c>
      <c r="G7" s="5" t="s">
        <v>19</v>
      </c>
      <c r="H7" s="5" t="s">
        <v>20</v>
      </c>
      <c r="I7" s="5" t="s">
        <v>35</v>
      </c>
    </row>
    <row r="8" spans="1:9">
      <c r="A8" s="5" t="s">
        <v>17</v>
      </c>
      <c r="B8" s="5" t="s">
        <v>36</v>
      </c>
      <c r="C8" s="6" t="s">
        <v>37</v>
      </c>
      <c r="D8" s="5" t="s">
        <v>38</v>
      </c>
      <c r="E8" s="5" t="s">
        <v>39</v>
      </c>
      <c r="F8" s="5" t="s">
        <v>12</v>
      </c>
      <c r="G8" s="5" t="s">
        <v>19</v>
      </c>
      <c r="H8" s="5" t="s">
        <v>20</v>
      </c>
      <c r="I8" s="5" t="s">
        <v>40</v>
      </c>
    </row>
    <row r="9" spans="1:9">
      <c r="A9" s="5" t="s">
        <v>17</v>
      </c>
      <c r="B9" s="5" t="s">
        <v>41</v>
      </c>
      <c r="C9" s="6" t="s">
        <v>42</v>
      </c>
      <c r="D9" s="5" t="s">
        <v>43</v>
      </c>
      <c r="E9" s="5" t="s">
        <v>44</v>
      </c>
      <c r="F9" s="5" t="s">
        <v>12</v>
      </c>
      <c r="G9" s="5" t="s">
        <v>19</v>
      </c>
      <c r="H9" s="5" t="s">
        <v>20</v>
      </c>
      <c r="I9" s="5" t="s">
        <v>45</v>
      </c>
    </row>
    <row r="10" spans="1:9">
      <c r="A10" s="5" t="s">
        <v>17</v>
      </c>
      <c r="B10" s="5" t="s">
        <v>46</v>
      </c>
      <c r="C10" s="6" t="s">
        <v>47</v>
      </c>
      <c r="D10" s="5" t="s">
        <v>48</v>
      </c>
      <c r="E10" s="5" t="s">
        <v>49</v>
      </c>
      <c r="F10" s="5" t="s">
        <v>12</v>
      </c>
      <c r="G10" s="5" t="s">
        <v>19</v>
      </c>
      <c r="H10" s="5" t="s">
        <v>20</v>
      </c>
      <c r="I10" s="5" t="s">
        <v>50</v>
      </c>
    </row>
    <row r="11" spans="1:9">
      <c r="A11" s="5" t="s">
        <v>17</v>
      </c>
      <c r="B11" s="5" t="s">
        <v>51</v>
      </c>
      <c r="C11" s="6" t="s">
        <v>52</v>
      </c>
      <c r="D11" s="5" t="s">
        <v>53</v>
      </c>
      <c r="E11" s="5" t="s">
        <v>54</v>
      </c>
      <c r="F11" s="5" t="s">
        <v>12</v>
      </c>
      <c r="G11" s="5" t="s">
        <v>19</v>
      </c>
      <c r="H11" s="5" t="s">
        <v>20</v>
      </c>
      <c r="I11" s="5" t="s">
        <v>55</v>
      </c>
    </row>
    <row r="12" spans="1:9">
      <c r="A12" s="5" t="s"/>
      <c r="B12" s="5" t="s"/>
      <c r="C12" s="6" t="s">
        <v>56</v>
      </c>
      <c r="D12" s="5" t="s">
        <v>57</v>
      </c>
      <c r="E12" s="5" t="s">
        <v>58</v>
      </c>
      <c r="F12" s="5" t="s">
        <v>12</v>
      </c>
      <c r="G12" s="5" t="s">
        <v>19</v>
      </c>
      <c r="H12" s="5" t="s">
        <v>20</v>
      </c>
      <c r="I12" s="5" t="s">
        <v>59</v>
      </c>
    </row>
    <row r="13" spans="1:9">
      <c r="A13" s="5" t="s">
        <v>17</v>
      </c>
      <c r="B13" s="5" t="s">
        <v>60</v>
      </c>
      <c r="C13" s="6" t="s">
        <v>61</v>
      </c>
      <c r="D13" s="5" t="s">
        <v>62</v>
      </c>
      <c r="E13" s="5" t="s">
        <v>63</v>
      </c>
      <c r="F13" s="5" t="s">
        <v>12</v>
      </c>
      <c r="G13" s="5" t="s">
        <v>64</v>
      </c>
      <c r="H13" s="5" t="s">
        <v>20</v>
      </c>
      <c r="I13" s="5" t="s">
        <v>65</v>
      </c>
    </row>
    <row r="14" spans="1:9">
      <c r="A14" s="5" t="s">
        <v>17</v>
      </c>
      <c r="B14" s="5" t="s">
        <v>66</v>
      </c>
      <c r="C14" s="6" t="s">
        <v>67</v>
      </c>
      <c r="D14" s="5" t="s">
        <v>68</v>
      </c>
      <c r="E14" s="5" t="s">
        <v>69</v>
      </c>
      <c r="F14" s="5" t="s">
        <v>24</v>
      </c>
      <c r="G14" s="5" t="s">
        <v>19</v>
      </c>
      <c r="H14" s="5" t="s">
        <v>20</v>
      </c>
      <c r="I14" s="5" t="s">
        <v>70</v>
      </c>
    </row>
    <row r="15" spans="1:9">
      <c r="A15" s="5" t="s">
        <v>17</v>
      </c>
      <c r="B15" s="5" t="s">
        <v>71</v>
      </c>
      <c r="C15" s="6" t="s">
        <v>72</v>
      </c>
      <c r="D15" s="5" t="s">
        <v>73</v>
      </c>
      <c r="E15" s="5" t="s">
        <v>74</v>
      </c>
      <c r="F15" s="5" t="s">
        <v>12</v>
      </c>
      <c r="G15" s="5" t="s">
        <v>19</v>
      </c>
      <c r="H15" s="5" t="s">
        <v>20</v>
      </c>
      <c r="I15" s="5" t="s">
        <v>75</v>
      </c>
    </row>
    <row r="16" spans="1:9">
      <c r="A16" s="5" t="s">
        <v>17</v>
      </c>
      <c r="B16" s="5" t="s">
        <v>76</v>
      </c>
      <c r="C16" s="6" t="s">
        <v>77</v>
      </c>
      <c r="D16" s="5" t="s">
        <v>78</v>
      </c>
      <c r="E16" s="5" t="s">
        <v>79</v>
      </c>
      <c r="F16" s="5" t="s">
        <v>12</v>
      </c>
      <c r="G16" s="5" t="s">
        <v>19</v>
      </c>
      <c r="H16" s="5" t="s">
        <v>20</v>
      </c>
      <c r="I16" s="5" t="s">
        <v>80</v>
      </c>
    </row>
    <row r="17" spans="1:9">
      <c r="A17" s="5" t="s">
        <v>17</v>
      </c>
      <c r="B17" s="5" t="s">
        <v>81</v>
      </c>
      <c r="C17" s="6" t="s">
        <v>82</v>
      </c>
      <c r="D17" s="5" t="s">
        <v>83</v>
      </c>
      <c r="E17" s="5" t="s">
        <v>84</v>
      </c>
      <c r="F17" s="5" t="s">
        <v>85</v>
      </c>
      <c r="G17" s="5" t="s">
        <v>86</v>
      </c>
      <c r="H17" s="5" t="s">
        <v>20</v>
      </c>
      <c r="I17" s="5" t="s">
        <v>87</v>
      </c>
    </row>
    <row r="18" spans="1:9">
      <c r="A18" s="5" t="s"/>
      <c r="B18" s="5" t="s"/>
      <c r="C18" s="6" t="s">
        <v>88</v>
      </c>
      <c r="D18" s="5" t="s">
        <v>89</v>
      </c>
      <c r="E18" s="5" t="s">
        <v>90</v>
      </c>
      <c r="F18" s="5" t="s">
        <v>12</v>
      </c>
      <c r="G18" s="5" t="s">
        <v>19</v>
      </c>
      <c r="H18" s="5" t="s">
        <v>20</v>
      </c>
      <c r="I18" s="5" t="s">
        <v>91</v>
      </c>
    </row>
    <row r="19" spans="1:9">
      <c r="A19" s="5" t="s"/>
      <c r="B19" s="5" t="s"/>
      <c r="C19" s="6" t="s">
        <v>92</v>
      </c>
      <c r="D19" s="5" t="s">
        <v>93</v>
      </c>
      <c r="E19" s="5" t="s">
        <v>94</v>
      </c>
      <c r="F19" s="5" t="s">
        <v>12</v>
      </c>
      <c r="G19" s="5" t="s">
        <v>19</v>
      </c>
      <c r="H19" s="5" t="s">
        <v>20</v>
      </c>
      <c r="I19" s="5" t="s">
        <v>95</v>
      </c>
    </row>
    <row r="20" spans="1:9">
      <c r="A20" s="5" t="s">
        <v>17</v>
      </c>
      <c r="B20" s="5" t="s">
        <v>96</v>
      </c>
      <c r="C20" s="6" t="s">
        <v>97</v>
      </c>
      <c r="D20" s="5" t="s">
        <v>97</v>
      </c>
      <c r="E20" s="5" t="s">
        <v>98</v>
      </c>
      <c r="F20" s="5" t="s">
        <v>99</v>
      </c>
      <c r="G20" s="5" t="s">
        <v>100</v>
      </c>
      <c r="H20" s="5" t="s">
        <v>20</v>
      </c>
      <c r="I20" s="5" t="s">
        <v>101</v>
      </c>
    </row>
    <row r="21" spans="1:9">
      <c r="A21" s="5" t="s"/>
      <c r="B21" s="5" t="s">
        <v>102</v>
      </c>
      <c r="C21" s="6" t="s">
        <v>103</v>
      </c>
      <c r="D21" s="5" t="s">
        <v>104</v>
      </c>
      <c r="E21" s="5" t="s">
        <v>105</v>
      </c>
      <c r="F21" s="5" t="s">
        <v>24</v>
      </c>
      <c r="G21" s="5" t="s">
        <v>100</v>
      </c>
      <c r="H21" s="5" t="s">
        <v>20</v>
      </c>
      <c r="I21" s="5" t="s">
        <v>106</v>
      </c>
    </row>
    <row r="22" spans="1:9">
      <c r="A22" s="5" t="s">
        <v>17</v>
      </c>
      <c r="B22" s="5" t="s">
        <v>96</v>
      </c>
      <c r="C22" s="6" t="s">
        <v>107</v>
      </c>
      <c r="D22" s="5" t="s">
        <v>108</v>
      </c>
      <c r="E22" s="5" t="s">
        <v>109</v>
      </c>
      <c r="F22" s="5" t="s">
        <v>24</v>
      </c>
      <c r="G22" s="5" t="s">
        <v>110</v>
      </c>
      <c r="H22" s="5" t="s">
        <v>20</v>
      </c>
      <c r="I22" s="5" t="s">
        <v>111</v>
      </c>
    </row>
    <row r="23" spans="1:9">
      <c r="A23" s="5" t="s"/>
      <c r="B23" s="5" t="s">
        <v>102</v>
      </c>
      <c r="C23" s="6" t="s">
        <v>112</v>
      </c>
      <c r="D23" s="5" t="s">
        <v>113</v>
      </c>
      <c r="E23" s="5" t="s">
        <v>114</v>
      </c>
      <c r="F23" s="5" t="s">
        <v>24</v>
      </c>
      <c r="G23" s="5" t="s">
        <v>110</v>
      </c>
      <c r="H23" s="5" t="s">
        <v>20</v>
      </c>
      <c r="I23" s="5" t="s">
        <v>115</v>
      </c>
    </row>
    <row r="24" spans="1:9">
      <c r="A24" s="5" t="s"/>
      <c r="B24" s="5" t="s"/>
      <c r="C24" s="5" t="s">
        <v>116</v>
      </c>
      <c r="D24" s="5" t="s">
        <v>117</v>
      </c>
      <c r="E24" s="5" t="s">
        <v>118</v>
      </c>
      <c r="F24" s="5" t="s">
        <v>119</v>
      </c>
      <c r="G24" s="5" t="s">
        <v>120</v>
      </c>
      <c r="H24" s="5" t="s">
        <v>20</v>
      </c>
      <c r="I24" s="5" t="s">
        <v>121</v>
      </c>
    </row>
  </sheetData>
</worksheet>
</file>

<file path=xl/worksheets/sheet20.xml><?xml version="1.0" encoding="utf-8"?>
<worksheet xmlns="http://schemas.openxmlformats.org/spreadsheetml/2006/main">
  <sheetPr codeName="wat detail">
    <tabColor rgb="FF92D050"/>
  </sheetPr>
  <dimension ref="J52"/>
  <sheetViews>
    <sheetView showGridLines="true" workbookViewId="0"/>
  </sheetViews>
  <sheetFormatPr baseColWidth="13" defaultRowHeight="18" customHeight="true"/>
  <cols>
    <col min="1" max="1" width="35.2031" customWidth="true"/>
    <col min="2" max="2" width="24.2227" customWidth="true"/>
    <col min="3" max="3" width="21.3125" customWidth="true"/>
    <col min="4" max="4" width="19.2812" customWidth="true"/>
    <col min="5" max="5" width="20.6328" customWidth="true"/>
    <col min="6" max="6" width="19.2812" customWidth="true"/>
    <col min="8" max="8" width="22.3906" customWidth="true"/>
    <col min="9" max="9" width="28.1914" customWidth="true"/>
  </cols>
  <sheetData>
    <row r="1" spans="1:9">
      <c r="A1" s="61" t="s">
        <v>1</v>
      </c>
      <c r="B1" s="4" t="s">
        <v>2</v>
      </c>
      <c r="C1" s="4" t="s">
        <v>202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9</v>
      </c>
      <c r="I1" s="4" t="s">
        <v>8</v>
      </c>
    </row>
    <row r="2" spans="1:9">
      <c r="A2" s="62" t="s"/>
      <c r="B2" s="44" t="s"/>
      <c r="C2" s="47" t="s"/>
      <c r="D2" s="47" t="s">
        <v>10</v>
      </c>
      <c r="E2" s="47" t="s">
        <v>11</v>
      </c>
      <c r="F2" s="63" t="s">
        <v>12</v>
      </c>
      <c r="G2" s="64" t="s">
        <v>13</v>
      </c>
      <c r="H2" s="46" t="s"/>
      <c r="I2" s="46" t="s">
        <v>377</v>
      </c>
    </row>
    <row r="3" spans="1:9">
      <c r="A3" s="62" t="s"/>
      <c r="B3" s="44" t="s"/>
      <c r="C3" s="47" t="s"/>
      <c r="D3" s="47" t="s">
        <v>15</v>
      </c>
      <c r="E3" s="47" t="s">
        <v>16</v>
      </c>
      <c r="F3" s="63" t="s">
        <v>12</v>
      </c>
      <c r="G3" s="64" t="s">
        <v>13</v>
      </c>
      <c r="H3" s="46" t="s"/>
      <c r="I3" s="46" t="s">
        <v>377</v>
      </c>
    </row>
    <row r="4" spans="1:9">
      <c r="A4" s="62" t="s"/>
      <c r="B4" s="44" t="s"/>
      <c r="C4" s="47" t="s"/>
      <c r="D4" s="47" t="s"/>
      <c r="E4" s="47" t="s"/>
      <c r="F4" s="47" t="s"/>
      <c r="G4" s="47" t="s"/>
      <c r="H4" s="46" t="s"/>
      <c r="I4" s="46" t="s"/>
    </row>
    <row r="5" spans="1:10">
      <c r="A5" s="62" t="s">
        <v>378</v>
      </c>
      <c r="B5" s="44" t="s">
        <v>379</v>
      </c>
      <c r="C5" s="47" t="s">
        <v>215</v>
      </c>
      <c r="D5" s="47" t="s">
        <v>10</v>
      </c>
      <c r="E5" s="47" t="s">
        <v>11</v>
      </c>
      <c r="F5" s="47" t="s">
        <v>12</v>
      </c>
      <c r="G5" s="47" t="s">
        <v>19</v>
      </c>
      <c r="H5" s="46" t="s"/>
      <c r="I5" s="46" t="s">
        <v>184</v>
      </c>
      <c r="J5" t="s">
        <f>=_xlfn.CONCAT(B5," AS `",E5,"#v1`,")</f>
        <v>380</v>
      </c>
    </row>
    <row r="6" spans="1:10">
      <c r="A6" s="62" t="s"/>
      <c r="B6" s="46" t="s"/>
      <c r="C6" s="46" t="s"/>
      <c r="D6" s="65" t="s">
        <v>22</v>
      </c>
      <c r="E6" s="65" t="s">
        <v>23</v>
      </c>
      <c r="F6" s="65" t="s">
        <v>24</v>
      </c>
      <c r="G6" s="46" t="s">
        <v>19</v>
      </c>
      <c r="H6" s="46" t="s"/>
      <c r="I6" s="46" t="s">
        <v>184</v>
      </c>
      <c r="J6" t="s">
        <f>=_xlfn.CONCAT(B6," AS `",E6,"#v1`,")</f>
        <v>326</v>
      </c>
    </row>
    <row r="7" spans="1:10">
      <c r="A7" s="62" t="s">
        <v>378</v>
      </c>
      <c r="B7" s="44" t="s">
        <v>381</v>
      </c>
      <c r="C7" s="44" t="s">
        <v>382</v>
      </c>
      <c r="D7" s="46" t="s">
        <v>383</v>
      </c>
      <c r="E7" s="46" t="s">
        <v>383</v>
      </c>
      <c r="F7" s="44" t="s">
        <v>12</v>
      </c>
      <c r="G7" s="46" t="s">
        <v>19</v>
      </c>
      <c r="H7" s="46" t="s"/>
      <c r="I7" s="46" t="s">
        <v>184</v>
      </c>
      <c r="J7" t="s">
        <f>=_xlfn.CONCAT(B7," AS `",E7,"#v1`,")</f>
        <v>384</v>
      </c>
    </row>
    <row r="8" spans="1:10">
      <c r="A8" s="62" t="s">
        <v>378</v>
      </c>
      <c r="B8" s="44" t="s">
        <v>26</v>
      </c>
      <c r="C8" s="44" t="s">
        <v>385</v>
      </c>
      <c r="D8" s="46" t="s">
        <v>386</v>
      </c>
      <c r="E8" s="46" t="s">
        <v>29</v>
      </c>
      <c r="F8" s="44" t="s">
        <v>12</v>
      </c>
      <c r="G8" s="46" t="s">
        <v>19</v>
      </c>
      <c r="H8" s="46" t="s"/>
      <c r="I8" s="46" t="s">
        <v>184</v>
      </c>
      <c r="J8" t="s">
        <f>=_xlfn.CONCAT(B8," AS `",E8,"#v1`,")</f>
        <v>30</v>
      </c>
    </row>
    <row r="9" spans="1:10">
      <c r="A9" s="62" t="s">
        <v>378</v>
      </c>
      <c r="B9" s="44" t="s">
        <v>387</v>
      </c>
      <c r="C9" s="44" t="s">
        <v>388</v>
      </c>
      <c r="D9" s="46" t="s">
        <v>389</v>
      </c>
      <c r="E9" s="46" t="s">
        <v>389</v>
      </c>
      <c r="F9" s="44" t="s">
        <v>12</v>
      </c>
      <c r="G9" s="46" t="s">
        <v>19</v>
      </c>
      <c r="H9" s="46" t="s"/>
      <c r="I9" s="46" t="s">
        <v>184</v>
      </c>
      <c r="J9" t="s">
        <f>=_xlfn.CONCAT(B9," AS `",E9,"#v1`,")</f>
        <v>390</v>
      </c>
    </row>
    <row r="10" spans="1:10">
      <c r="A10" s="62" t="s">
        <v>378</v>
      </c>
      <c r="B10" s="47" t="s">
        <v>36</v>
      </c>
      <c r="C10" s="47" t="s">
        <v>36</v>
      </c>
      <c r="D10" s="48" t="s">
        <v>38</v>
      </c>
      <c r="E10" s="48" t="s">
        <v>39</v>
      </c>
      <c r="F10" s="47" t="s">
        <v>12</v>
      </c>
      <c r="G10" s="64" t="s">
        <v>19</v>
      </c>
      <c r="H10" s="46" t="s"/>
      <c r="I10" s="46" t="s">
        <v>184</v>
      </c>
      <c r="J10" t="s">
        <f>=_xlfn.CONCAT(B10," AS `",E10,"#v1`,")</f>
        <v>40</v>
      </c>
    </row>
    <row r="11" spans="1:10">
      <c r="A11" s="62" t="s">
        <v>378</v>
      </c>
      <c r="B11" s="47" t="s">
        <v>391</v>
      </c>
      <c r="C11" s="47" t="s">
        <v>392</v>
      </c>
      <c r="D11" s="48" t="s">
        <v>278</v>
      </c>
      <c r="E11" s="48" t="s">
        <v>279</v>
      </c>
      <c r="F11" s="47" t="s">
        <v>12</v>
      </c>
      <c r="G11" s="64" t="s">
        <v>19</v>
      </c>
      <c r="H11" s="46" t="s"/>
      <c r="I11" s="46" t="s">
        <v>184</v>
      </c>
      <c r="J11" t="s">
        <f>=_xlfn.CONCAT(B11," AS `",E11,"#v1`,")</f>
        <v>393</v>
      </c>
    </row>
    <row r="12" spans="1:10">
      <c r="A12" s="62" t="s">
        <v>378</v>
      </c>
      <c r="B12" s="47" t="s">
        <v>394</v>
      </c>
      <c r="C12" s="47" t="s">
        <v>395</v>
      </c>
      <c r="D12" s="48" t="s">
        <v>396</v>
      </c>
      <c r="E12" s="48" t="s">
        <v>397</v>
      </c>
      <c r="F12" s="47" t="s">
        <v>12</v>
      </c>
      <c r="G12" s="64" t="s">
        <v>19</v>
      </c>
      <c r="H12" s="46" t="s"/>
      <c r="I12" s="46" t="s">
        <v>184</v>
      </c>
      <c r="J12" t="s">
        <f>=_xlfn.CONCAT(B12," AS `",E12,"#v1`,")</f>
        <v>398</v>
      </c>
    </row>
    <row r="13" spans="1:10">
      <c r="A13" s="62" t="s">
        <v>378</v>
      </c>
      <c r="B13" s="47" t="s">
        <v>399</v>
      </c>
      <c r="C13" s="47" t="s">
        <v>400</v>
      </c>
      <c r="D13" s="48" t="s">
        <v>401</v>
      </c>
      <c r="E13" s="48" t="s">
        <v>402</v>
      </c>
      <c r="F13" s="47" t="s">
        <v>12</v>
      </c>
      <c r="G13" s="64" t="s">
        <v>19</v>
      </c>
      <c r="H13" s="46" t="s"/>
      <c r="I13" s="46" t="s">
        <v>184</v>
      </c>
      <c r="J13" t="s">
        <f>=_xlfn.CONCAT(B13," AS `",E13,"#v1`,")</f>
        <v>403</v>
      </c>
    </row>
    <row r="14" spans="1:10">
      <c r="A14" s="62" t="s">
        <v>378</v>
      </c>
      <c r="B14" s="47" t="s">
        <v>404</v>
      </c>
      <c r="C14" s="47" t="s">
        <v>405</v>
      </c>
      <c r="D14" s="48" t="s">
        <v>288</v>
      </c>
      <c r="E14" s="48" t="s">
        <v>289</v>
      </c>
      <c r="F14" s="47" t="s">
        <v>12</v>
      </c>
      <c r="G14" s="64" t="s">
        <v>19</v>
      </c>
      <c r="H14" s="46" t="s"/>
      <c r="I14" s="46" t="s">
        <v>184</v>
      </c>
      <c r="J14" t="s">
        <f>=_xlfn.CONCAT(B14," AS `",E14,"#v1`,")</f>
        <v>406</v>
      </c>
    </row>
    <row r="15" spans="1:10">
      <c r="A15" s="62" t="s">
        <v>378</v>
      </c>
      <c r="B15" s="47" t="s">
        <v>407</v>
      </c>
      <c r="C15" s="47" t="s">
        <v>408</v>
      </c>
      <c r="D15" s="48" t="s">
        <v>409</v>
      </c>
      <c r="E15" s="48" t="s">
        <v>410</v>
      </c>
      <c r="F15" s="47" t="s">
        <v>12</v>
      </c>
      <c r="G15" s="64" t="s">
        <v>19</v>
      </c>
      <c r="H15" s="46" t="s"/>
      <c r="I15" s="46" t="s">
        <v>184</v>
      </c>
      <c r="J15" t="s">
        <f>=_xlfn.CONCAT(B15," AS `",E15,"#v1`,")</f>
        <v>411</v>
      </c>
    </row>
    <row r="16" spans="1:10">
      <c r="A16" s="62" t="s">
        <v>378</v>
      </c>
      <c r="B16" s="47" t="s">
        <v>412</v>
      </c>
      <c r="C16" s="47" t="s">
        <v>413</v>
      </c>
      <c r="D16" s="48" t="s">
        <v>414</v>
      </c>
      <c r="E16" s="48" t="s">
        <v>415</v>
      </c>
      <c r="F16" s="47" t="s">
        <v>12</v>
      </c>
      <c r="G16" s="64" t="s">
        <v>19</v>
      </c>
      <c r="H16" s="46" t="s"/>
      <c r="I16" s="46" t="s">
        <v>184</v>
      </c>
      <c r="J16" t="s">
        <f>=_xlfn.CONCAT(B16," AS `",E16,"#v1`,")</f>
        <v>416</v>
      </c>
    </row>
    <row r="17" spans="1:10">
      <c r="A17" s="62" t="s">
        <v>378</v>
      </c>
      <c r="B17" s="47" t="s">
        <v>417</v>
      </c>
      <c r="C17" s="47" t="s">
        <v>418</v>
      </c>
      <c r="D17" s="48" t="s">
        <v>419</v>
      </c>
      <c r="E17" s="48" t="s">
        <v>420</v>
      </c>
      <c r="F17" s="47" t="s">
        <v>12</v>
      </c>
      <c r="G17" s="64" t="s">
        <v>19</v>
      </c>
      <c r="H17" s="46" t="s"/>
      <c r="I17" s="46" t="s">
        <v>184</v>
      </c>
      <c r="J17" t="s">
        <f>=_xlfn.CONCAT(B17," AS `",E17,"#v1`,")</f>
        <v>421</v>
      </c>
    </row>
    <row r="18" spans="1:10">
      <c r="A18" s="62" t="s">
        <v>378</v>
      </c>
      <c r="B18" s="47" t="s">
        <v>422</v>
      </c>
      <c r="C18" s="66" t="s">
        <v>423</v>
      </c>
      <c r="D18" s="48" t="s">
        <v>424</v>
      </c>
      <c r="E18" s="48" t="s">
        <v>425</v>
      </c>
      <c r="F18" s="47" t="s">
        <v>12</v>
      </c>
      <c r="G18" s="64" t="s">
        <v>19</v>
      </c>
      <c r="H18" s="46" t="s"/>
      <c r="I18" s="46" t="s">
        <v>184</v>
      </c>
      <c r="J18" t="s">
        <f>=_xlfn.CONCAT(B18," AS `",E18,"#v1`,")</f>
        <v>426</v>
      </c>
    </row>
    <row r="19" spans="1:10">
      <c r="A19" s="62" t="s">
        <v>378</v>
      </c>
      <c r="B19" s="47" t="s">
        <v>427</v>
      </c>
      <c r="C19" s="47" t="s">
        <v>428</v>
      </c>
      <c r="D19" s="47" t="s">
        <v>428</v>
      </c>
      <c r="E19" s="48" t="s">
        <v>429</v>
      </c>
      <c r="F19" s="47" t="s">
        <v>12</v>
      </c>
      <c r="G19" s="64" t="s">
        <v>19</v>
      </c>
      <c r="H19" s="46" t="s"/>
      <c r="I19" s="46" t="s">
        <v>184</v>
      </c>
      <c r="J19" t="s">
        <f>=_xlfn.CONCAT(B19," AS `",E19,"#v1`,")</f>
        <v>430</v>
      </c>
    </row>
    <row r="20" spans="1:10">
      <c r="A20" s="62" t="s">
        <v>378</v>
      </c>
      <c r="B20" s="47" t="s">
        <v>431</v>
      </c>
      <c r="C20" s="47" t="s">
        <v>431</v>
      </c>
      <c r="D20" s="48" t="s">
        <v>284</v>
      </c>
      <c r="E20" s="48" t="s">
        <v>285</v>
      </c>
      <c r="F20" s="47" t="s">
        <v>12</v>
      </c>
      <c r="G20" s="64" t="s">
        <v>19</v>
      </c>
      <c r="H20" s="46" t="s"/>
      <c r="I20" s="46" t="s">
        <v>184</v>
      </c>
      <c r="J20" t="s">
        <f>=_xlfn.CONCAT(B20," AS `",E20,"#v1`,")</f>
        <v>432</v>
      </c>
    </row>
    <row r="21" spans="1:10" s="484" customFormat="true">
      <c r="A21" s="67" t="s">
        <v>378</v>
      </c>
      <c r="B21" s="68" t="s">
        <v>433</v>
      </c>
      <c r="C21" s="68" t="s">
        <v>434</v>
      </c>
      <c r="D21" s="69" t="s">
        <v>434</v>
      </c>
      <c r="E21" s="69" t="s">
        <v>435</v>
      </c>
      <c r="F21" s="68" t="s">
        <v>12</v>
      </c>
      <c r="G21" s="70" t="s">
        <v>19</v>
      </c>
      <c r="H21" s="70" t="s"/>
      <c r="I21" s="70" t="s">
        <v>184</v>
      </c>
      <c r="J21" s="71" t="s">
        <f>=_xlfn.CONCAT(B21," AS `",E21,"#v1`,")</f>
        <v>436</v>
      </c>
    </row>
    <row r="22" spans="1:10" s="484" customFormat="true">
      <c r="A22" s="67" t="s">
        <v>378</v>
      </c>
      <c r="B22" s="68" t="s">
        <v>437</v>
      </c>
      <c r="C22" s="68" t="s">
        <v>438</v>
      </c>
      <c r="D22" s="68" t="s">
        <v>438</v>
      </c>
      <c r="E22" s="70" t="s">
        <v>439</v>
      </c>
      <c r="F22" s="68" t="s">
        <v>99</v>
      </c>
      <c r="G22" s="70" t="s">
        <v>19</v>
      </c>
      <c r="H22" s="70" t="s"/>
      <c r="I22" s="70" t="s">
        <v>184</v>
      </c>
      <c r="J22" s="71" t="s">
        <f>=_xlfn.CONCAT(B22," AS `",E22,"#v1`,")</f>
        <v>440</v>
      </c>
    </row>
    <row r="23" spans="1:10" s="71" customFormat="true">
      <c r="A23" s="67" t="s">
        <v>378</v>
      </c>
      <c r="B23" s="68" t="s">
        <v>441</v>
      </c>
      <c r="C23" s="68" t="s">
        <v>442</v>
      </c>
      <c r="D23" s="68" t="s">
        <v>443</v>
      </c>
      <c r="E23" s="70" t="s">
        <v>444</v>
      </c>
      <c r="F23" s="68" t="s">
        <v>12</v>
      </c>
      <c r="G23" s="70" t="s">
        <v>19</v>
      </c>
      <c r="H23" s="70" t="s"/>
      <c r="I23" s="70" t="s">
        <v>184</v>
      </c>
      <c r="J23" s="71" t="s">
        <f>=_xlfn.CONCAT(B23," AS `",E23,"#v1`,")</f>
        <v>445</v>
      </c>
    </row>
    <row r="24" spans="1:10" s="71" customFormat="true">
      <c r="A24" s="67" t="s">
        <v>378</v>
      </c>
      <c r="B24" s="68" t="s">
        <v>446</v>
      </c>
      <c r="C24" s="68" t="s">
        <v>447</v>
      </c>
      <c r="D24" s="70" t="s">
        <v>448</v>
      </c>
      <c r="E24" s="70" t="s">
        <v>448</v>
      </c>
      <c r="F24" s="68" t="s">
        <v>12</v>
      </c>
      <c r="G24" s="70" t="s">
        <v>19</v>
      </c>
      <c r="H24" s="70" t="s"/>
      <c r="I24" s="70" t="s">
        <v>184</v>
      </c>
      <c r="J24" s="71" t="s">
        <f>=_xlfn.CONCAT(B24," AS `",E24,"#v1`,")</f>
        <v>449</v>
      </c>
    </row>
    <row r="25" spans="1:10" s="484" customFormat="true">
      <c r="A25" s="72" t="s">
        <v>378</v>
      </c>
      <c r="B25" s="73" t="s">
        <v>450</v>
      </c>
      <c r="C25" s="73" t="s">
        <v>450</v>
      </c>
      <c r="D25" s="74" t="s">
        <v>451</v>
      </c>
      <c r="E25" s="74" t="s">
        <v>452</v>
      </c>
      <c r="F25" s="73" t="s">
        <v>12</v>
      </c>
      <c r="G25" s="74" t="s">
        <v>19</v>
      </c>
      <c r="H25" s="74" t="s"/>
      <c r="I25" s="74" t="s">
        <v>184</v>
      </c>
      <c r="J25" s="75" t="s">
        <f>=_xlfn.CONCAT(B25," AS `",E25,"#v1`,")</f>
        <v>453</v>
      </c>
    </row>
    <row r="26" spans="1:10" s="71" customFormat="true">
      <c r="A26" s="72" t="s">
        <v>378</v>
      </c>
      <c r="B26" s="73" t="s">
        <v>454</v>
      </c>
      <c r="C26" s="73" t="s">
        <v>455</v>
      </c>
      <c r="D26" s="74" t="s">
        <v>456</v>
      </c>
      <c r="E26" s="74" t="s">
        <v>457</v>
      </c>
      <c r="F26" s="73" t="s">
        <v>12</v>
      </c>
      <c r="G26" s="74" t="s">
        <v>19</v>
      </c>
      <c r="H26" s="74" t="s"/>
      <c r="I26" s="74" t="s">
        <v>184</v>
      </c>
      <c r="J26" s="75" t="s">
        <f>=_xlfn.CONCAT(B26," AS `",E26,"#v1`,")</f>
        <v>458</v>
      </c>
    </row>
    <row r="27" spans="1:10" s="71" customFormat="true">
      <c r="A27" s="72" t="s">
        <v>378</v>
      </c>
      <c r="B27" s="73" t="s">
        <v>459</v>
      </c>
      <c r="C27" s="73" t="s">
        <v>460</v>
      </c>
      <c r="D27" s="73" t="s">
        <v>460</v>
      </c>
      <c r="E27" s="74" t="s">
        <v>461</v>
      </c>
      <c r="F27" s="73" t="s">
        <v>12</v>
      </c>
      <c r="G27" s="74" t="s">
        <v>19</v>
      </c>
      <c r="H27" s="74" t="s"/>
      <c r="I27" s="74" t="s">
        <v>184</v>
      </c>
      <c r="J27" s="75" t="s">
        <f>=_xlfn.CONCAT(B27," AS `",E27,"#v1`,")</f>
        <v>462</v>
      </c>
    </row>
    <row r="28" spans="1:10" s="484" customFormat="true">
      <c r="A28" s="72" t="s">
        <v>378</v>
      </c>
      <c r="B28" s="73" t="s">
        <v>463</v>
      </c>
      <c r="C28" s="73" t="s">
        <v>464</v>
      </c>
      <c r="D28" s="74" t="s">
        <v>235</v>
      </c>
      <c r="E28" s="74" t="s">
        <v>236</v>
      </c>
      <c r="F28" s="73" t="s">
        <v>12</v>
      </c>
      <c r="G28" s="74" t="s">
        <v>19</v>
      </c>
      <c r="H28" s="74" t="s"/>
      <c r="I28" s="74" t="s">
        <v>184</v>
      </c>
      <c r="J28" s="75" t="s">
        <f>=_xlfn.CONCAT(B28," AS `",E28,"#v1`,")</f>
        <v>465</v>
      </c>
    </row>
    <row r="29" spans="1:10" s="484" customFormat="true">
      <c r="A29" s="72" t="s">
        <v>378</v>
      </c>
      <c r="B29" s="73" t="s">
        <v>466</v>
      </c>
      <c r="C29" s="73" t="s">
        <v>467</v>
      </c>
      <c r="D29" s="74" t="s">
        <v>468</v>
      </c>
      <c r="E29" s="74" t="s">
        <v>469</v>
      </c>
      <c r="F29" s="73" t="s">
        <v>12</v>
      </c>
      <c r="G29" s="74" t="s">
        <v>19</v>
      </c>
      <c r="H29" s="74" t="s"/>
      <c r="I29" s="74" t="s">
        <v>184</v>
      </c>
      <c r="J29" s="75" t="s">
        <f>=_xlfn.CONCAT(B29," AS `",E29,"#v1`,")</f>
        <v>470</v>
      </c>
    </row>
    <row r="30" spans="1:10">
      <c r="A30" s="76" t="s">
        <v>378</v>
      </c>
      <c r="B30" s="52" t="s">
        <v>471</v>
      </c>
      <c r="C30" s="52" t="s">
        <v>471</v>
      </c>
      <c r="D30" s="54" t="s">
        <v>472</v>
      </c>
      <c r="E30" s="54" t="s">
        <v>473</v>
      </c>
      <c r="F30" s="52" t="s">
        <v>12</v>
      </c>
      <c r="G30" s="77" t="s">
        <v>19</v>
      </c>
      <c r="H30" s="56" t="s"/>
      <c r="I30" s="56" t="s">
        <v>184</v>
      </c>
      <c r="J30" s="78" t="s">
        <f>=_xlfn.CONCAT(B30," AS `",E30,"#v1`,")</f>
        <v>474</v>
      </c>
    </row>
    <row r="31" spans="1:10">
      <c r="A31" s="76" t="s">
        <v>378</v>
      </c>
      <c r="B31" s="52" t="s">
        <v>475</v>
      </c>
      <c r="C31" s="52" t="s">
        <v>475</v>
      </c>
      <c r="D31" s="54" t="s">
        <v>370</v>
      </c>
      <c r="E31" s="54" t="s">
        <v>370</v>
      </c>
      <c r="F31" s="52" t="s">
        <v>258</v>
      </c>
      <c r="G31" s="77" t="s">
        <v>19</v>
      </c>
      <c r="H31" s="56" t="s"/>
      <c r="I31" s="56" t="s">
        <v>184</v>
      </c>
      <c r="J31" s="78" t="s">
        <f>=_xlfn.CONCAT(B31," AS `",E31,"#v1`,")</f>
        <v>476</v>
      </c>
    </row>
    <row r="32" spans="1:10">
      <c r="A32" s="76" t="s">
        <v>378</v>
      </c>
      <c r="B32" s="52" t="s">
        <v>477</v>
      </c>
      <c r="C32" s="52" t="s">
        <v>477</v>
      </c>
      <c r="D32" s="54" t="s">
        <v>478</v>
      </c>
      <c r="E32" s="54" t="s">
        <v>479</v>
      </c>
      <c r="F32" s="52" t="s">
        <v>258</v>
      </c>
      <c r="G32" s="77" t="s">
        <v>19</v>
      </c>
      <c r="H32" s="56" t="s"/>
      <c r="I32" s="56" t="s">
        <v>184</v>
      </c>
      <c r="J32" s="78" t="s">
        <f>=_xlfn.CONCAT(B32," AS `",E32,"#v1`,")</f>
        <v>480</v>
      </c>
    </row>
    <row r="33" spans="1:10">
      <c r="A33" s="76" t="s">
        <v>378</v>
      </c>
      <c r="B33" s="79" t="s">
        <v>481</v>
      </c>
      <c r="C33" s="52" t="s">
        <v>482</v>
      </c>
      <c r="D33" s="52" t="s">
        <v>482</v>
      </c>
      <c r="E33" s="52" t="s">
        <v>482</v>
      </c>
      <c r="F33" s="79" t="s">
        <v>99</v>
      </c>
      <c r="G33" s="77" t="s">
        <v>19</v>
      </c>
      <c r="H33" s="56" t="s"/>
      <c r="I33" s="56" t="s">
        <v>184</v>
      </c>
      <c r="J33" s="78" t="s">
        <f>=_xlfn.CONCAT(B33," AS `",E33,"#v1`,")</f>
        <v>483</v>
      </c>
    </row>
    <row r="34" spans="1:10">
      <c r="A34" s="76" t="s">
        <v>378</v>
      </c>
      <c r="B34" s="79" t="s">
        <v>484</v>
      </c>
      <c r="C34" s="52" t="s">
        <v>485</v>
      </c>
      <c r="D34" s="52" t="s">
        <v>485</v>
      </c>
      <c r="E34" s="52" t="s">
        <v>485</v>
      </c>
      <c r="F34" s="79" t="s">
        <v>99</v>
      </c>
      <c r="G34" s="77" t="s">
        <v>19</v>
      </c>
      <c r="H34" s="56" t="s"/>
      <c r="I34" s="56" t="s">
        <v>184</v>
      </c>
      <c r="J34" s="78" t="s">
        <f>=_xlfn.CONCAT(B34," AS `",E34,"#v1`,")</f>
        <v>486</v>
      </c>
    </row>
    <row r="35" spans="1:10">
      <c r="A35" s="62" t="s">
        <v>378</v>
      </c>
      <c r="B35" s="47" t="s">
        <v>487</v>
      </c>
      <c r="C35" s="47" t="s">
        <v>488</v>
      </c>
      <c r="D35" s="47" t="s">
        <v>489</v>
      </c>
      <c r="E35" s="48" t="s">
        <v>490</v>
      </c>
      <c r="F35" s="47" t="s">
        <v>119</v>
      </c>
      <c r="G35" s="64" t="s">
        <v>19</v>
      </c>
      <c r="H35" s="46" t="s"/>
      <c r="I35" s="46" t="s">
        <v>184</v>
      </c>
      <c r="J35" t="s">
        <f>=_xlfn.CONCAT(B35," AS `",E35,"#v1`,")</f>
        <v>491</v>
      </c>
    </row>
    <row r="36" spans="1:10">
      <c r="A36" s="62" t="s">
        <v>378</v>
      </c>
      <c r="B36" s="47" t="s">
        <v>492</v>
      </c>
      <c r="C36" s="47" t="s">
        <v>493</v>
      </c>
      <c r="D36" s="47" t="s">
        <v>494</v>
      </c>
      <c r="E36" s="48" t="s">
        <v>495</v>
      </c>
      <c r="F36" s="47" t="s">
        <v>119</v>
      </c>
      <c r="G36" s="64" t="s">
        <v>19</v>
      </c>
      <c r="H36" s="46" t="s"/>
      <c r="I36" s="46" t="s">
        <v>184</v>
      </c>
      <c r="J36" t="s">
        <f>=_xlfn.CONCAT(B36," AS `",E36,"#v1`,")</f>
        <v>496</v>
      </c>
    </row>
    <row r="37" spans="1:10">
      <c r="A37" s="62" t="s">
        <v>378</v>
      </c>
      <c r="B37" s="47" t="s">
        <v>497</v>
      </c>
      <c r="C37" s="47" t="s">
        <v>498</v>
      </c>
      <c r="D37" s="47" t="s">
        <v>498</v>
      </c>
      <c r="E37" s="64" t="s">
        <v>499</v>
      </c>
      <c r="F37" s="47" t="s">
        <v>119</v>
      </c>
      <c r="G37" s="64" t="s">
        <v>19</v>
      </c>
      <c r="H37" s="46" t="s"/>
      <c r="I37" s="46" t="s">
        <v>184</v>
      </c>
      <c r="J37" t="s">
        <f>=_xlfn.CONCAT(B37," AS `",E37,"#v1`,")</f>
        <v>500</v>
      </c>
    </row>
    <row r="38" spans="1:10">
      <c r="A38" s="62" t="s">
        <v>378</v>
      </c>
      <c r="B38" s="47" t="s">
        <v>501</v>
      </c>
      <c r="C38" s="47" t="s">
        <v>502</v>
      </c>
      <c r="D38" s="47" t="s">
        <v>502</v>
      </c>
      <c r="E38" s="64" t="s">
        <v>503</v>
      </c>
      <c r="F38" s="47" t="s">
        <v>119</v>
      </c>
      <c r="G38" s="64" t="s">
        <v>19</v>
      </c>
      <c r="H38" s="46" t="s"/>
      <c r="I38" s="46" t="s">
        <v>184</v>
      </c>
      <c r="J38" t="s">
        <f>=_xlfn.CONCAT(B38," AS `",E38,"#v1`,")</f>
        <v>504</v>
      </c>
    </row>
    <row r="39" spans="1:10">
      <c r="A39" s="62" t="s">
        <v>378</v>
      </c>
      <c r="B39" s="47" t="s">
        <v>505</v>
      </c>
      <c r="C39" s="47" t="s">
        <v>506</v>
      </c>
      <c r="D39" s="47" t="s">
        <v>506</v>
      </c>
      <c r="E39" s="64" t="s">
        <v>507</v>
      </c>
      <c r="F39" s="47" t="s">
        <v>119</v>
      </c>
      <c r="G39" s="64" t="s">
        <v>19</v>
      </c>
      <c r="H39" s="46" t="s"/>
      <c r="I39" s="46" t="s">
        <v>184</v>
      </c>
      <c r="J39" t="s">
        <f>=_xlfn.CONCAT(B39," AS `",E39,"#v1`,")</f>
        <v>508</v>
      </c>
    </row>
    <row r="40" spans="1:10">
      <c r="A40" s="62" t="s">
        <v>378</v>
      </c>
      <c r="B40" s="47" t="s">
        <v>509</v>
      </c>
      <c r="C40" s="47" t="s">
        <v>117</v>
      </c>
      <c r="D40" s="47" t="s">
        <v>117</v>
      </c>
      <c r="E40" s="48" t="s">
        <v>118</v>
      </c>
      <c r="F40" s="47" t="s">
        <v>119</v>
      </c>
      <c r="G40" s="64" t="s">
        <v>19</v>
      </c>
      <c r="H40" s="46" t="s"/>
      <c r="I40" s="46" t="s">
        <v>184</v>
      </c>
      <c r="J40" t="s">
        <f>=_xlfn.CONCAT(B40," AS `",E40,"#v1`,")</f>
        <v>510</v>
      </c>
    </row>
    <row r="41" spans="1:10">
      <c r="A41" s="62" t="s">
        <v>511</v>
      </c>
      <c r="B41" s="47" t="s">
        <v>512</v>
      </c>
      <c r="C41" s="47" t="s">
        <v>513</v>
      </c>
      <c r="D41" s="47" t="s">
        <v>513</v>
      </c>
      <c r="E41" s="48" t="s">
        <v>514</v>
      </c>
      <c r="F41" s="47" t="s">
        <v>12</v>
      </c>
      <c r="G41" s="64" t="s">
        <v>19</v>
      </c>
      <c r="H41" s="46" t="s"/>
      <c r="I41" s="46" t="s">
        <v>184</v>
      </c>
      <c r="J41" t="s">
        <f>=_xlfn.CONCAT(B41," AS `",E41,"#v1`,")</f>
        <v>515</v>
      </c>
    </row>
    <row r="42" spans="1:10">
      <c r="A42" s="62" t="s">
        <v>511</v>
      </c>
      <c r="B42" s="47" t="s">
        <v>516</v>
      </c>
      <c r="C42" s="47" t="s">
        <v>517</v>
      </c>
      <c r="D42" s="47" t="s">
        <v>517</v>
      </c>
      <c r="E42" s="48" t="s">
        <v>518</v>
      </c>
      <c r="F42" s="47" t="s">
        <v>12</v>
      </c>
      <c r="G42" s="64" t="s">
        <v>19</v>
      </c>
      <c r="H42" s="46" t="s"/>
      <c r="I42" s="46" t="s">
        <v>184</v>
      </c>
      <c r="J42" t="s">
        <f>=_xlfn.CONCAT(B42," AS `",E42,"#v1`,")</f>
        <v>519</v>
      </c>
    </row>
    <row r="43" spans="1:10">
      <c r="A43" s="62" t="s">
        <v>511</v>
      </c>
      <c r="B43" s="47" t="s">
        <v>520</v>
      </c>
      <c r="C43" s="47" t="s">
        <v>521</v>
      </c>
      <c r="D43" s="47" t="s">
        <v>522</v>
      </c>
      <c r="E43" s="64" t="s">
        <v>523</v>
      </c>
      <c r="F43" s="47" t="s">
        <v>524</v>
      </c>
      <c r="G43" s="64" t="s">
        <v>19</v>
      </c>
      <c r="H43" s="46" t="s"/>
      <c r="I43" s="46" t="s">
        <v>184</v>
      </c>
      <c r="J43" t="s">
        <f>=_xlfn.CONCAT(B43," AS `",E43,"#v1`,")</f>
        <v>525</v>
      </c>
    </row>
    <row r="44" spans="1:10">
      <c r="A44" s="62" t="s">
        <v>511</v>
      </c>
      <c r="B44" s="47" t="s">
        <v>526</v>
      </c>
      <c r="C44" s="47" t="s">
        <v>527</v>
      </c>
      <c r="D44" s="47" t="s">
        <v>528</v>
      </c>
      <c r="E44" s="64" t="s">
        <v>529</v>
      </c>
      <c r="F44" s="47" t="s">
        <v>524</v>
      </c>
      <c r="G44" s="64" t="s">
        <v>19</v>
      </c>
      <c r="H44" s="46" t="s"/>
      <c r="I44" s="46" t="s">
        <v>184</v>
      </c>
      <c r="J44" t="s">
        <f>=_xlfn.CONCAT(B44," AS `",E44,"#v1`,")</f>
        <v>530</v>
      </c>
    </row>
    <row r="45" spans="1:10">
      <c r="A45" s="62" t="s">
        <v>511</v>
      </c>
      <c r="B45" s="47" t="s">
        <v>531</v>
      </c>
      <c r="C45" s="47" t="s">
        <v>532</v>
      </c>
      <c r="D45" s="47" t="s">
        <v>533</v>
      </c>
      <c r="E45" s="64" t="s">
        <v>534</v>
      </c>
      <c r="F45" s="47" t="s">
        <v>524</v>
      </c>
      <c r="G45" s="64" t="s">
        <v>19</v>
      </c>
      <c r="H45" s="46" t="s"/>
      <c r="I45" s="46" t="s">
        <v>184</v>
      </c>
      <c r="J45" t="s">
        <f>=_xlfn.CONCAT(B45," AS `",E45,"#v1`,")</f>
        <v>535</v>
      </c>
    </row>
    <row r="46" spans="1:10">
      <c r="A46" s="62" t="s">
        <v>511</v>
      </c>
      <c r="B46" s="47" t="s">
        <v>536</v>
      </c>
      <c r="C46" s="47" t="s">
        <v>537</v>
      </c>
      <c r="D46" s="47" t="s">
        <v>538</v>
      </c>
      <c r="E46" s="64" t="s">
        <v>539</v>
      </c>
      <c r="F46" s="47" t="s">
        <v>524</v>
      </c>
      <c r="G46" s="64" t="s">
        <v>19</v>
      </c>
      <c r="H46" s="46" t="s"/>
      <c r="I46" s="46" t="s">
        <v>184</v>
      </c>
      <c r="J46" t="s">
        <f>=_xlfn.CONCAT(B46," AS `",E46,"#v1`,")</f>
        <v>540</v>
      </c>
    </row>
    <row r="47" spans="1:10">
      <c r="A47" s="62" t="s">
        <v>511</v>
      </c>
      <c r="B47" s="47" t="s">
        <v>541</v>
      </c>
      <c r="C47" s="47" t="s">
        <v>542</v>
      </c>
      <c r="D47" s="47" t="s">
        <v>542</v>
      </c>
      <c r="E47" s="48" t="s">
        <v>543</v>
      </c>
      <c r="F47" s="47" t="s">
        <v>524</v>
      </c>
      <c r="G47" s="64" t="s">
        <v>19</v>
      </c>
      <c r="H47" s="46" t="s"/>
      <c r="I47" s="46" t="s">
        <v>184</v>
      </c>
      <c r="J47" t="s">
        <f>=_xlfn.CONCAT(B47," AS `",E47,"#v1`,")</f>
        <v>544</v>
      </c>
    </row>
    <row r="48" spans="1:10">
      <c r="A48" s="62" t="s">
        <v>511</v>
      </c>
      <c r="B48" s="47" t="s">
        <v>545</v>
      </c>
      <c r="C48" s="47" t="s">
        <v>546</v>
      </c>
      <c r="D48" s="47" t="s">
        <v>547</v>
      </c>
      <c r="E48" s="48" t="s">
        <v>548</v>
      </c>
      <c r="F48" s="47" t="s">
        <v>524</v>
      </c>
      <c r="G48" s="64" t="s">
        <v>19</v>
      </c>
      <c r="H48" s="46" t="s"/>
      <c r="I48" s="46" t="s">
        <v>184</v>
      </c>
      <c r="J48" t="s">
        <f>=_xlfn.CONCAT(B48," AS `",E48,"#v1`,")</f>
        <v>549</v>
      </c>
    </row>
    <row r="49" spans="1:10">
      <c r="A49" s="62" t="s">
        <v>511</v>
      </c>
      <c r="B49" s="47" t="s">
        <v>550</v>
      </c>
      <c r="C49" s="47" t="s">
        <v>551</v>
      </c>
      <c r="D49" s="47" t="s">
        <v>552</v>
      </c>
      <c r="E49" s="48" t="s">
        <v>553</v>
      </c>
      <c r="F49" s="47" t="s">
        <v>524</v>
      </c>
      <c r="G49" s="64" t="s">
        <v>19</v>
      </c>
      <c r="H49" s="46" t="s"/>
      <c r="I49" s="46" t="s">
        <v>184</v>
      </c>
      <c r="J49" t="s">
        <f>=_xlfn.CONCAT(B49," AS `",E49,"#v1`,")</f>
        <v>554</v>
      </c>
    </row>
    <row r="50" spans="1:10">
      <c r="A50" s="62" t="s">
        <v>511</v>
      </c>
      <c r="B50" s="47" t="s">
        <v>501</v>
      </c>
      <c r="C50" s="47" t="s">
        <v>502</v>
      </c>
      <c r="D50" s="47" t="s">
        <v>555</v>
      </c>
      <c r="E50" s="48" t="s">
        <v>556</v>
      </c>
      <c r="F50" s="47" t="s">
        <v>119</v>
      </c>
      <c r="G50" s="64" t="s">
        <v>19</v>
      </c>
      <c r="H50" s="46" t="s"/>
      <c r="I50" s="46" t="s">
        <v>184</v>
      </c>
      <c r="J50" t="s">
        <f>=_xlfn.CONCAT(B50," AS `",E50,"#v1`,")</f>
        <v>557</v>
      </c>
    </row>
    <row r="51" spans="1:10">
      <c r="A51" s="62" t="s">
        <v>511</v>
      </c>
      <c r="B51" s="47" t="s">
        <v>505</v>
      </c>
      <c r="C51" s="47" t="s">
        <v>506</v>
      </c>
      <c r="D51" s="47" t="s">
        <v>558</v>
      </c>
      <c r="E51" s="48" t="s">
        <v>559</v>
      </c>
      <c r="F51" s="47" t="s">
        <v>119</v>
      </c>
      <c r="G51" s="64" t="s">
        <v>19</v>
      </c>
      <c r="H51" s="46" t="s"/>
      <c r="I51" s="46" t="s">
        <v>184</v>
      </c>
      <c r="J51" t="s">
        <f>=_xlfn.CONCAT(B51," AS `",E51,"#v1`,")</f>
        <v>560</v>
      </c>
    </row>
    <row r="52" spans="1:10">
      <c r="A52" s="62" t="s">
        <v>511</v>
      </c>
      <c r="B52" s="47" t="s">
        <v>509</v>
      </c>
      <c r="C52" s="47" t="s">
        <v>117</v>
      </c>
      <c r="D52" s="47" t="s">
        <v>561</v>
      </c>
      <c r="E52" s="48" t="s">
        <v>562</v>
      </c>
      <c r="F52" s="47" t="s">
        <v>119</v>
      </c>
      <c r="G52" s="64" t="s">
        <v>19</v>
      </c>
      <c r="H52" s="46" t="s"/>
      <c r="I52" s="46" t="s">
        <v>184</v>
      </c>
      <c r="J52" t="s">
        <f>=_xlfn.CONCAT(B52," AS `",E52,"#v1`,")</f>
        <v>563</v>
      </c>
    </row>
  </sheetData>
</worksheet>
</file>

<file path=xl/worksheets/sheet21.xml><?xml version="1.0" encoding="utf-8"?>
<worksheet xmlns="http://schemas.openxmlformats.org/spreadsheetml/2006/main">
  <sheetPr codeName="metro detail ">
    <tabColor rgb="FF92D050"/>
  </sheetPr>
  <dimension ref="AA68"/>
  <sheetViews>
    <sheetView showGridLines="true" workbookViewId="0"/>
  </sheetViews>
  <sheetFormatPr baseColWidth="13" defaultRowHeight="18" customHeight="true"/>
  <cols>
    <col min="1" max="1" width="53.2812" style="31" customWidth="true"/>
    <col min="2" max="2" width="24.2812" style="31" customWidth="true"/>
    <col min="3" max="3" width="27.6523" style="31" customWidth="true"/>
    <col min="4" max="5" width="19.5508" style="31" customWidth="true"/>
    <col min="6" max="6" width="23.0625" style="31" customWidth="true"/>
    <col min="7" max="7" width="18.2109" style="31" customWidth="true"/>
    <col min="8" max="8" width="13.082" style="31" customWidth="true"/>
    <col min="9" max="9" width="48.5625" style="31" customWidth="true"/>
    <col min="10" max="10" width="42.2227" style="31" customWidth="true"/>
    <col min="11" max="11" width="34.1211" style="31" customWidth="true"/>
    <col min="12" max="27" width="13.6719" style="13"/>
  </cols>
  <sheetData>
    <row r="1" spans="1:9">
      <c r="A1" s="82" t="s">
        <v>1</v>
      </c>
      <c r="B1" s="82" t="s">
        <v>2</v>
      </c>
      <c r="C1" s="82" t="s">
        <v>202</v>
      </c>
      <c r="D1" s="82" t="s">
        <v>4</v>
      </c>
      <c r="E1" s="82" t="s">
        <v>5</v>
      </c>
      <c r="F1" s="82" t="s">
        <v>6</v>
      </c>
      <c r="G1" s="82" t="s">
        <v>7</v>
      </c>
      <c r="H1" s="82" t="s">
        <v>9</v>
      </c>
      <c r="I1" s="83" t="s">
        <v>8</v>
      </c>
    </row>
    <row r="2" spans="1:9">
      <c r="A2" s="48" t="s"/>
      <c r="B2" s="47" t="s"/>
      <c r="C2" s="47" t="s"/>
      <c r="D2" s="47" t="s"/>
      <c r="E2" s="47" t="s"/>
      <c r="F2" s="47" t="s"/>
      <c r="G2" s="47" t="s"/>
      <c r="H2" s="48" t="s"/>
      <c r="I2" s="48" t="s"/>
    </row>
    <row r="3" spans="1:10">
      <c r="A3" s="84" t="s">
        <v>599</v>
      </c>
      <c r="B3" s="85" t="s">
        <v>379</v>
      </c>
      <c r="C3" s="85" t="s">
        <v>215</v>
      </c>
      <c r="D3" s="85" t="s">
        <v>10</v>
      </c>
      <c r="E3" s="85" t="s">
        <v>11</v>
      </c>
      <c r="F3" s="85" t="s">
        <v>12</v>
      </c>
      <c r="G3" s="85" t="s">
        <v>19</v>
      </c>
      <c r="H3" s="84" t="s"/>
      <c r="I3" s="84" t="s">
        <v>187</v>
      </c>
      <c r="J3" s="13" t="s">
        <f>=_xlfn.CONCAT(B3," AS `",E3,"#v1`,")</f>
        <v>380</v>
      </c>
    </row>
    <row r="4" spans="1:10">
      <c r="A4" s="48" t="s"/>
      <c r="B4" s="47" t="s"/>
      <c r="C4" s="47" t="s"/>
      <c r="D4" s="66" t="s">
        <v>22</v>
      </c>
      <c r="E4" s="66" t="s">
        <v>23</v>
      </c>
      <c r="F4" s="66" t="s">
        <v>24</v>
      </c>
      <c r="G4" s="47" t="s">
        <v>19</v>
      </c>
      <c r="H4" s="48" t="s"/>
      <c r="I4" s="48" t="s">
        <v>187</v>
      </c>
      <c r="J4" s="13" t="s">
        <f>=_xlfn.CONCAT(B4," AS `",E4,"#v1`,")</f>
        <v>326</v>
      </c>
    </row>
    <row r="5" spans="1:10">
      <c r="A5" s="48" t="s">
        <v>599</v>
      </c>
      <c r="B5" s="47" t="s">
        <v>381</v>
      </c>
      <c r="C5" s="47" t="s">
        <v>382</v>
      </c>
      <c r="D5" s="54" t="s">
        <v>383</v>
      </c>
      <c r="E5" s="54" t="s">
        <v>383</v>
      </c>
      <c r="F5" s="47" t="s">
        <v>12</v>
      </c>
      <c r="G5" s="47" t="s">
        <v>19</v>
      </c>
      <c r="H5" s="48" t="s"/>
      <c r="I5" s="48" t="s">
        <v>187</v>
      </c>
      <c r="J5" s="13" t="s">
        <f>=_xlfn.CONCAT(B5," AS `",E5,"#v1`,")</f>
        <v>384</v>
      </c>
    </row>
    <row r="6" spans="1:10">
      <c r="A6" s="48" t="s">
        <v>599</v>
      </c>
      <c r="B6" s="47" t="s">
        <v>26</v>
      </c>
      <c r="C6" s="47" t="s">
        <v>385</v>
      </c>
      <c r="D6" s="48" t="s">
        <v>28</v>
      </c>
      <c r="E6" s="48" t="s">
        <v>29</v>
      </c>
      <c r="F6" s="47" t="s">
        <v>12</v>
      </c>
      <c r="G6" s="47" t="s">
        <v>19</v>
      </c>
      <c r="H6" s="48" t="s"/>
      <c r="I6" s="48" t="s">
        <v>187</v>
      </c>
      <c r="J6" s="13" t="s">
        <f>=_xlfn.CONCAT(B6," AS `",E6,"#v1`,")</f>
        <v>30</v>
      </c>
    </row>
    <row r="7" spans="1:10">
      <c r="A7" s="48" t="s">
        <v>599</v>
      </c>
      <c r="B7" s="47" t="s">
        <v>31</v>
      </c>
      <c r="C7" s="86" t="s">
        <v>33</v>
      </c>
      <c r="D7" s="48" t="s">
        <v>33</v>
      </c>
      <c r="E7" s="48" t="s">
        <v>34</v>
      </c>
      <c r="F7" s="47" t="s">
        <v>600</v>
      </c>
      <c r="G7" s="47" t="s">
        <v>19</v>
      </c>
      <c r="H7" s="48" t="s"/>
      <c r="I7" s="48" t="s">
        <v>187</v>
      </c>
      <c r="J7" s="13" t="s">
        <f>=_xlfn.CONCAT(B7," AS `",E7,"#v1`,")</f>
        <v>601</v>
      </c>
    </row>
    <row r="8" spans="1:27" s="287" customFormat="true">
      <c r="A8" s="48" t="s">
        <v>599</v>
      </c>
      <c r="B8" s="47" t="s">
        <v>36</v>
      </c>
      <c r="C8" s="47" t="s">
        <v>36</v>
      </c>
      <c r="D8" s="48" t="s">
        <v>38</v>
      </c>
      <c r="E8" s="48" t="s">
        <v>39</v>
      </c>
      <c r="F8" s="47" t="s">
        <v>12</v>
      </c>
      <c r="G8" s="47" t="s">
        <v>19</v>
      </c>
      <c r="H8" s="48" t="s"/>
      <c r="I8" s="48" t="s">
        <v>187</v>
      </c>
      <c r="J8" s="13" t="s">
        <f>=_xlfn.CONCAT(B8," AS `",E8,"#v1`,")</f>
        <v>40</v>
      </c>
      <c r="K8" s="31" t="s"/>
      <c r="L8" s="31" t="s"/>
      <c r="M8" s="31" t="s"/>
      <c r="N8" s="31" t="s"/>
      <c r="O8" s="31" t="s"/>
      <c r="P8" s="31" t="s"/>
      <c r="Q8" s="31" t="s"/>
      <c r="R8" s="31" t="s"/>
      <c r="S8" s="31" t="s"/>
      <c r="T8" s="31" t="s"/>
      <c r="U8" s="31" t="s"/>
      <c r="V8" s="31" t="s"/>
      <c r="W8" s="31" t="s"/>
      <c r="X8" s="31" t="s"/>
      <c r="Y8" s="31" t="s"/>
      <c r="Z8" s="31" t="s"/>
      <c r="AA8" s="31" t="s"/>
    </row>
    <row r="9" spans="1:27" s="287" customFormat="true">
      <c r="A9" s="48" t="s">
        <v>599</v>
      </c>
      <c r="B9" s="47" t="s">
        <v>431</v>
      </c>
      <c r="C9" s="47" t="s">
        <v>431</v>
      </c>
      <c r="D9" s="48" t="s">
        <v>284</v>
      </c>
      <c r="E9" s="48" t="s">
        <v>285</v>
      </c>
      <c r="F9" s="47" t="s">
        <v>12</v>
      </c>
      <c r="G9" s="47" t="s">
        <v>19</v>
      </c>
      <c r="H9" s="48" t="s"/>
      <c r="I9" s="48" t="s">
        <v>187</v>
      </c>
      <c r="J9" s="13" t="s">
        <f>=_xlfn.CONCAT(B9," AS `",E9,"#v1`,")</f>
        <v>432</v>
      </c>
      <c r="K9" s="31" t="s"/>
      <c r="L9" s="31" t="s"/>
      <c r="M9" s="31" t="s"/>
      <c r="N9" s="31" t="s"/>
      <c r="O9" s="31" t="s"/>
      <c r="P9" s="31" t="s"/>
      <c r="Q9" s="31" t="s"/>
      <c r="R9" s="31" t="s"/>
      <c r="S9" s="31" t="s"/>
      <c r="T9" s="31" t="s"/>
      <c r="U9" s="31" t="s"/>
      <c r="V9" s="31" t="s"/>
      <c r="W9" s="31" t="s"/>
      <c r="X9" s="31" t="s"/>
      <c r="Y9" s="31" t="s"/>
      <c r="Z9" s="31" t="s"/>
      <c r="AA9" s="31" t="s"/>
    </row>
    <row r="10" spans="1:27" s="287" customFormat="true">
      <c r="A10" s="48" t="s">
        <v>599</v>
      </c>
      <c r="B10" s="47" t="s">
        <v>602</v>
      </c>
      <c r="C10" s="47" t="s">
        <v>602</v>
      </c>
      <c r="D10" s="48" t="s">
        <v>603</v>
      </c>
      <c r="E10" s="48" t="s">
        <v>604</v>
      </c>
      <c r="F10" s="47" t="s">
        <v>12</v>
      </c>
      <c r="G10" s="47" t="s">
        <v>19</v>
      </c>
      <c r="H10" s="48" t="s"/>
      <c r="I10" s="48" t="s">
        <v>187</v>
      </c>
      <c r="J10" s="13" t="s">
        <f>=_xlfn.CONCAT(B10," AS `",E10,"#v1`,")</f>
        <v>605</v>
      </c>
      <c r="K10" s="31" t="s"/>
      <c r="L10" s="31" t="s"/>
      <c r="M10" s="31" t="s"/>
      <c r="N10" s="31" t="s"/>
      <c r="O10" s="31" t="s"/>
      <c r="P10" s="31" t="s"/>
      <c r="Q10" s="31" t="s"/>
      <c r="R10" s="31" t="s"/>
      <c r="S10" s="31" t="s"/>
      <c r="T10" s="31" t="s"/>
      <c r="U10" s="31" t="s"/>
      <c r="V10" s="31" t="s"/>
      <c r="W10" s="31" t="s"/>
      <c r="X10" s="31" t="s"/>
      <c r="Y10" s="31" t="s"/>
      <c r="Z10" s="31" t="s"/>
      <c r="AA10" s="31" t="s"/>
    </row>
    <row r="11" spans="1:10">
      <c r="A11" s="48" t="s">
        <v>599</v>
      </c>
      <c r="B11" s="47" t="s">
        <v>412</v>
      </c>
      <c r="C11" s="47" t="s">
        <v>412</v>
      </c>
      <c r="D11" s="48" t="s">
        <v>414</v>
      </c>
      <c r="E11" s="48" t="s">
        <v>415</v>
      </c>
      <c r="F11" s="47" t="s">
        <v>12</v>
      </c>
      <c r="G11" s="47" t="s">
        <v>19</v>
      </c>
      <c r="H11" s="48" t="s"/>
      <c r="I11" s="48" t="s">
        <v>187</v>
      </c>
      <c r="J11" s="13" t="s">
        <f>=_xlfn.CONCAT(B11," AS `",E11,"#v1`,")</f>
        <v>416</v>
      </c>
    </row>
    <row r="12" spans="1:10">
      <c r="A12" s="48" t="s">
        <v>599</v>
      </c>
      <c r="B12" s="47" t="s">
        <v>41</v>
      </c>
      <c r="C12" s="47" t="s">
        <v>41</v>
      </c>
      <c r="D12" s="48" t="s">
        <v>43</v>
      </c>
      <c r="E12" s="48" t="s">
        <v>44</v>
      </c>
      <c r="F12" s="47" t="s">
        <v>12</v>
      </c>
      <c r="G12" s="47" t="s">
        <v>19</v>
      </c>
      <c r="H12" s="48" t="s"/>
      <c r="I12" s="48" t="s">
        <v>187</v>
      </c>
      <c r="J12" s="13" t="s">
        <f>=_xlfn.CONCAT(B12," AS `",E12,"#v1`,")</f>
        <v>45</v>
      </c>
    </row>
    <row r="13" spans="1:10">
      <c r="A13" s="48" t="s">
        <v>599</v>
      </c>
      <c r="B13" s="47" t="s">
        <v>606</v>
      </c>
      <c r="C13" s="47" t="s">
        <v>606</v>
      </c>
      <c r="D13" s="48" t="s">
        <v>607</v>
      </c>
      <c r="E13" s="48" t="s">
        <v>608</v>
      </c>
      <c r="F13" s="47" t="s">
        <v>12</v>
      </c>
      <c r="G13" s="47" t="s">
        <v>19</v>
      </c>
      <c r="H13" s="48" t="s"/>
      <c r="I13" s="48" t="s">
        <v>187</v>
      </c>
      <c r="J13" s="13" t="s">
        <f>=_xlfn.CONCAT(B13," AS `",E13,"#v1`,")</f>
        <v>609</v>
      </c>
    </row>
    <row r="14" spans="1:10">
      <c r="A14" s="48" t="s">
        <v>599</v>
      </c>
      <c r="B14" s="47" t="s">
        <v>610</v>
      </c>
      <c r="C14" s="47" t="s">
        <v>610</v>
      </c>
      <c r="D14" s="48" t="s">
        <v>611</v>
      </c>
      <c r="E14" s="48" t="s">
        <v>612</v>
      </c>
      <c r="F14" s="47" t="s">
        <v>12</v>
      </c>
      <c r="G14" s="47" t="s">
        <v>19</v>
      </c>
      <c r="H14" s="48" t="s"/>
      <c r="I14" s="48" t="s">
        <v>187</v>
      </c>
      <c r="J14" s="13" t="s">
        <f>=_xlfn.CONCAT(B14," AS `",E14,"#v1`,")</f>
        <v>613</v>
      </c>
    </row>
    <row r="15" spans="1:10">
      <c r="A15" s="48" t="s">
        <v>599</v>
      </c>
      <c r="B15" s="47" t="s">
        <v>614</v>
      </c>
      <c r="C15" s="47" t="s">
        <v>615</v>
      </c>
      <c r="D15" s="48" t="s">
        <v>616</v>
      </c>
      <c r="E15" s="48" t="s">
        <v>617</v>
      </c>
      <c r="F15" s="47" t="s">
        <v>618</v>
      </c>
      <c r="G15" s="47" t="s">
        <v>19</v>
      </c>
      <c r="H15" s="48" t="s"/>
      <c r="I15" s="48" t="s">
        <v>187</v>
      </c>
      <c r="J15" s="13" t="s">
        <f>=_xlfn.CONCAT(B15," AS `",E15,"#v1`,")</f>
        <v>619</v>
      </c>
    </row>
    <row r="16" spans="1:10">
      <c r="A16" s="48" t="s">
        <v>599</v>
      </c>
      <c r="B16" s="47" t="s">
        <v>620</v>
      </c>
      <c r="C16" s="47" t="s">
        <v>620</v>
      </c>
      <c r="D16" s="48" t="s">
        <v>621</v>
      </c>
      <c r="E16" s="48" t="s">
        <v>622</v>
      </c>
      <c r="F16" s="47" t="s">
        <v>12</v>
      </c>
      <c r="G16" s="47" t="s">
        <v>19</v>
      </c>
      <c r="H16" s="48" t="s"/>
      <c r="I16" s="48" t="s">
        <v>187</v>
      </c>
      <c r="J16" s="13" t="s">
        <f>=_xlfn.CONCAT(B16," AS `",E16,"#v1`,")</f>
        <v>623</v>
      </c>
    </row>
    <row r="17" spans="1:10">
      <c r="A17" s="48" t="s">
        <v>599</v>
      </c>
      <c r="B17" s="47" t="s">
        <v>624</v>
      </c>
      <c r="C17" s="47" t="s">
        <v>625</v>
      </c>
      <c r="D17" s="48" t="s">
        <v>626</v>
      </c>
      <c r="E17" s="48" t="s">
        <v>626</v>
      </c>
      <c r="F17" s="47" t="s">
        <v>12</v>
      </c>
      <c r="G17" s="47" t="s">
        <v>19</v>
      </c>
      <c r="H17" s="48" t="s"/>
      <c r="I17" s="48" t="s">
        <v>187</v>
      </c>
      <c r="J17" s="13" t="s">
        <f>=_xlfn.CONCAT(B17," AS `",E17,"#v1`,")</f>
        <v>627</v>
      </c>
    </row>
    <row r="18" spans="1:10">
      <c r="A18" s="48" t="s">
        <v>599</v>
      </c>
      <c r="B18" s="47" t="s">
        <v>387</v>
      </c>
      <c r="C18" s="47" t="s">
        <v>628</v>
      </c>
      <c r="D18" s="87" t="s">
        <v>389</v>
      </c>
      <c r="E18" s="48" t="s">
        <v>389</v>
      </c>
      <c r="F18" s="47" t="s">
        <v>12</v>
      </c>
      <c r="G18" s="47" t="s">
        <v>19</v>
      </c>
      <c r="H18" s="48" t="s"/>
      <c r="I18" s="48" t="s">
        <v>187</v>
      </c>
      <c r="J18" s="13" t="s">
        <f>=_xlfn.CONCAT(B18," AS `",E18,"#v1`,")</f>
        <v>390</v>
      </c>
    </row>
    <row r="19" spans="1:27" s="485" customFormat="true">
      <c r="A19" s="48" t="s">
        <v>599</v>
      </c>
      <c r="B19" s="47" t="s">
        <v>433</v>
      </c>
      <c r="C19" s="88" t="s">
        <v>434</v>
      </c>
      <c r="D19" s="89" t="s">
        <v>434</v>
      </c>
      <c r="E19" s="89" t="s">
        <v>435</v>
      </c>
      <c r="F19" s="47" t="s">
        <v>85</v>
      </c>
      <c r="G19" s="47" t="s">
        <v>19</v>
      </c>
      <c r="H19" s="48" t="s"/>
      <c r="I19" s="48" t="s">
        <v>187</v>
      </c>
      <c r="J19" s="13" t="s">
        <f>=_xlfn.CONCAT(B19," AS `",E19,"#v1`,")</f>
        <v>436</v>
      </c>
      <c r="K19" s="31" t="s"/>
      <c r="L19" s="31" t="s"/>
      <c r="M19" s="31" t="s"/>
      <c r="N19" s="31" t="s"/>
      <c r="O19" s="31" t="s"/>
      <c r="P19" s="31" t="s"/>
      <c r="Q19" s="31" t="s"/>
      <c r="R19" s="31" t="s"/>
      <c r="S19" s="31" t="s"/>
      <c r="T19" s="31" t="s"/>
      <c r="U19" s="31" t="s"/>
      <c r="V19" s="31" t="s"/>
      <c r="W19" s="31" t="s"/>
      <c r="X19" s="31" t="s"/>
      <c r="Y19" s="31" t="s"/>
      <c r="Z19" s="31" t="s"/>
      <c r="AA19" s="31" t="s"/>
    </row>
    <row r="20" spans="1:27" s="485" customFormat="true">
      <c r="A20" s="48" t="s">
        <v>599</v>
      </c>
      <c r="B20" s="47" t="s">
        <v>437</v>
      </c>
      <c r="C20" s="90" t="s">
        <v>438</v>
      </c>
      <c r="D20" s="47" t="s">
        <v>438</v>
      </c>
      <c r="E20" s="48" t="s">
        <v>439</v>
      </c>
      <c r="F20" s="47" t="s">
        <v>99</v>
      </c>
      <c r="G20" s="47" t="s">
        <v>19</v>
      </c>
      <c r="H20" s="48" t="s"/>
      <c r="I20" s="48" t="s">
        <v>187</v>
      </c>
      <c r="J20" s="13" t="s">
        <f>=_xlfn.CONCAT(B20," AS `",E20,"#v1`,")</f>
        <v>440</v>
      </c>
      <c r="K20" s="31" t="s"/>
      <c r="L20" s="31" t="s"/>
      <c r="M20" s="31" t="s"/>
      <c r="N20" s="31" t="s"/>
      <c r="O20" s="31" t="s"/>
      <c r="P20" s="31" t="s"/>
      <c r="Q20" s="31" t="s"/>
      <c r="R20" s="31" t="s"/>
      <c r="S20" s="31" t="s"/>
      <c r="T20" s="31" t="s"/>
      <c r="U20" s="31" t="s"/>
      <c r="V20" s="31" t="s"/>
      <c r="W20" s="31" t="s"/>
      <c r="X20" s="31" t="s"/>
      <c r="Y20" s="31" t="s"/>
      <c r="Z20" s="31" t="s"/>
      <c r="AA20" s="31" t="s"/>
    </row>
    <row r="21" spans="1:10">
      <c r="A21" s="48" t="s">
        <v>599</v>
      </c>
      <c r="B21" s="47" t="s">
        <v>412</v>
      </c>
      <c r="C21" s="47" t="s">
        <v>412</v>
      </c>
      <c r="D21" s="48" t="s">
        <v>414</v>
      </c>
      <c r="E21" s="48" t="s">
        <v>629</v>
      </c>
      <c r="F21" s="47" t="s">
        <v>85</v>
      </c>
      <c r="G21" s="47" t="s">
        <v>19</v>
      </c>
      <c r="H21" s="48" t="s"/>
      <c r="I21" s="48" t="s">
        <v>187</v>
      </c>
      <c r="J21" s="13" t="s">
        <f>=_xlfn.CONCAT(B21," AS `",E21,"#v1`,")</f>
        <v>630</v>
      </c>
    </row>
    <row r="22" spans="1:10">
      <c r="A22" s="48" t="s">
        <v>599</v>
      </c>
      <c r="B22" s="47" t="s">
        <v>631</v>
      </c>
      <c r="C22" s="90" t="s">
        <v>632</v>
      </c>
      <c r="D22" s="47" t="s">
        <v>632</v>
      </c>
      <c r="E22" s="48" t="s">
        <v>633</v>
      </c>
      <c r="F22" s="47" t="s">
        <v>12</v>
      </c>
      <c r="G22" s="47" t="s">
        <v>19</v>
      </c>
      <c r="H22" s="48" t="s"/>
      <c r="I22" s="48" t="s">
        <v>187</v>
      </c>
      <c r="J22" s="13" t="s">
        <f>=_xlfn.CONCAT(B22," AS `",E22,"#v1`,")</f>
        <v>634</v>
      </c>
    </row>
    <row r="23" spans="1:10">
      <c r="A23" s="48" t="s">
        <v>599</v>
      </c>
      <c r="B23" s="47" t="s">
        <v>391</v>
      </c>
      <c r="C23" s="47" t="s">
        <v>392</v>
      </c>
      <c r="D23" s="48" t="s">
        <v>278</v>
      </c>
      <c r="E23" s="48" t="s">
        <v>279</v>
      </c>
      <c r="F23" s="47" t="s">
        <v>12</v>
      </c>
      <c r="G23" s="47" t="s">
        <v>19</v>
      </c>
      <c r="H23" s="48" t="s"/>
      <c r="I23" s="48" t="s">
        <v>187</v>
      </c>
      <c r="J23" s="13" t="s">
        <f>=_xlfn.CONCAT(B23," AS `",E23,"#v1`,")</f>
        <v>393</v>
      </c>
    </row>
    <row r="24" spans="1:10">
      <c r="A24" s="48" t="s">
        <v>599</v>
      </c>
      <c r="B24" s="47" t="s">
        <v>446</v>
      </c>
      <c r="C24" s="47" t="s">
        <v>447</v>
      </c>
      <c r="D24" s="48" t="s">
        <v>448</v>
      </c>
      <c r="E24" s="48" t="s">
        <v>448</v>
      </c>
      <c r="F24" s="47" t="s">
        <v>12</v>
      </c>
      <c r="G24" s="47" t="s">
        <v>19</v>
      </c>
      <c r="H24" s="48" t="s"/>
      <c r="I24" s="48" t="s">
        <v>187</v>
      </c>
      <c r="J24" s="13" t="s">
        <f>=_xlfn.CONCAT(B24," AS `",E24,"#v1`,")</f>
        <v>449</v>
      </c>
    </row>
    <row r="25" spans="1:27" s="287" customFormat="true">
      <c r="A25" s="48" t="s">
        <v>599</v>
      </c>
      <c r="B25" s="47" t="s">
        <v>81</v>
      </c>
      <c r="C25" s="47" t="s">
        <v>635</v>
      </c>
      <c r="D25" s="48" t="s">
        <v>636</v>
      </c>
      <c r="E25" s="48" t="s">
        <v>84</v>
      </c>
      <c r="F25" s="47" t="s">
        <v>85</v>
      </c>
      <c r="G25" s="47" t="s">
        <v>19</v>
      </c>
      <c r="H25" s="48" t="s"/>
      <c r="I25" s="48" t="s">
        <v>187</v>
      </c>
      <c r="J25" s="13" t="s">
        <f>=_xlfn.CONCAT(B25," AS `",E25,"#v1`,")</f>
        <v>637</v>
      </c>
      <c r="K25" s="31" t="s"/>
      <c r="L25" s="31" t="s"/>
      <c r="M25" s="31" t="s"/>
      <c r="N25" s="31" t="s"/>
      <c r="O25" s="31" t="s"/>
      <c r="P25" s="31" t="s"/>
      <c r="Q25" s="31" t="s"/>
      <c r="R25" s="31" t="s"/>
      <c r="S25" s="31" t="s"/>
      <c r="T25" s="31" t="s"/>
      <c r="U25" s="31" t="s"/>
      <c r="V25" s="31" t="s"/>
      <c r="W25" s="31" t="s"/>
      <c r="X25" s="31" t="s"/>
      <c r="Y25" s="31" t="s"/>
      <c r="Z25" s="31" t="s"/>
      <c r="AA25" s="31" t="s"/>
    </row>
    <row r="26" spans="1:27" s="287" customFormat="true">
      <c r="A26" s="48" t="s">
        <v>599</v>
      </c>
      <c r="B26" s="47" t="s">
        <v>76</v>
      </c>
      <c r="C26" s="47" t="s">
        <v>77</v>
      </c>
      <c r="D26" s="48" t="s">
        <v>638</v>
      </c>
      <c r="E26" s="48" t="s">
        <v>79</v>
      </c>
      <c r="F26" s="47" t="s">
        <v>12</v>
      </c>
      <c r="G26" s="47" t="s">
        <v>19</v>
      </c>
      <c r="H26" s="48" t="s"/>
      <c r="I26" s="48" t="s">
        <v>187</v>
      </c>
      <c r="J26" s="13" t="s">
        <f>=_xlfn.CONCAT(B26," AS `",E26,"#v1`,")</f>
        <v>639</v>
      </c>
      <c r="K26" s="31" t="s"/>
      <c r="L26" s="31" t="s"/>
      <c r="M26" s="31" t="s"/>
      <c r="N26" s="31" t="s"/>
      <c r="O26" s="31" t="s"/>
      <c r="P26" s="31" t="s"/>
      <c r="Q26" s="31" t="s"/>
      <c r="R26" s="31" t="s"/>
      <c r="S26" s="31" t="s"/>
      <c r="T26" s="31" t="s"/>
      <c r="U26" s="31" t="s"/>
      <c r="V26" s="31" t="s"/>
      <c r="W26" s="31" t="s"/>
      <c r="X26" s="31" t="s"/>
      <c r="Y26" s="31" t="s"/>
      <c r="Z26" s="31" t="s"/>
      <c r="AA26" s="31" t="s"/>
    </row>
    <row r="27" spans="1:10">
      <c r="A27" s="48" t="s">
        <v>599</v>
      </c>
      <c r="B27" s="47" t="s">
        <v>640</v>
      </c>
      <c r="C27" s="47" t="s">
        <v>641</v>
      </c>
      <c r="D27" s="48" t="s">
        <v>641</v>
      </c>
      <c r="E27" s="48" t="s">
        <v>642</v>
      </c>
      <c r="F27" s="47" t="s">
        <v>12</v>
      </c>
      <c r="G27" s="47" t="s">
        <v>19</v>
      </c>
      <c r="H27" s="48" t="s"/>
      <c r="I27" s="48" t="s">
        <v>187</v>
      </c>
      <c r="J27" s="13" t="s">
        <f>=_xlfn.CONCAT(B27," AS `",E27,"#v1`,")</f>
        <v>643</v>
      </c>
    </row>
    <row r="28" spans="1:10">
      <c r="A28" s="48" t="s">
        <v>599</v>
      </c>
      <c r="B28" s="47" t="s">
        <v>644</v>
      </c>
      <c r="C28" s="47" t="s">
        <v>645</v>
      </c>
      <c r="D28" s="48" t="s">
        <v>646</v>
      </c>
      <c r="E28" s="48" t="s">
        <v>647</v>
      </c>
      <c r="F28" s="47" t="s">
        <v>12</v>
      </c>
      <c r="G28" s="47" t="s">
        <v>19</v>
      </c>
      <c r="H28" s="48" t="s"/>
      <c r="I28" s="48" t="s">
        <v>187</v>
      </c>
      <c r="J28" s="13" t="s">
        <f>=_xlfn.CONCAT(B28," AS `",E28,"#v1`,")</f>
        <v>648</v>
      </c>
    </row>
    <row r="29" spans="1:27" s="287" customFormat="true">
      <c r="A29" s="48" t="s">
        <v>599</v>
      </c>
      <c r="B29" s="47" t="s">
        <v>649</v>
      </c>
      <c r="C29" s="47" t="s">
        <v>650</v>
      </c>
      <c r="D29" s="48" t="s">
        <v>651</v>
      </c>
      <c r="E29" s="48" t="s">
        <v>652</v>
      </c>
      <c r="F29" s="47" t="s">
        <v>12</v>
      </c>
      <c r="G29" s="47" t="s">
        <v>19</v>
      </c>
      <c r="H29" s="48" t="s"/>
      <c r="I29" s="48" t="s">
        <v>187</v>
      </c>
      <c r="J29" s="13" t="s">
        <f>=_xlfn.CONCAT(B29," AS `",E29,"#v1`,")</f>
        <v>653</v>
      </c>
      <c r="K29" s="31" t="s"/>
      <c r="L29" s="31" t="s"/>
      <c r="M29" s="31" t="s"/>
      <c r="N29" s="31" t="s"/>
      <c r="O29" s="31" t="s"/>
      <c r="P29" s="31" t="s"/>
      <c r="Q29" s="31" t="s"/>
      <c r="R29" s="31" t="s"/>
      <c r="S29" s="31" t="s"/>
      <c r="T29" s="31" t="s"/>
      <c r="U29" s="31" t="s"/>
      <c r="V29" s="31" t="s"/>
      <c r="W29" s="31" t="s"/>
      <c r="X29" s="31" t="s"/>
      <c r="Y29" s="31" t="s"/>
      <c r="Z29" s="31" t="s"/>
      <c r="AA29" s="31" t="s"/>
    </row>
    <row r="30" spans="1:10">
      <c r="A30" s="48" t="s">
        <v>599</v>
      </c>
      <c r="B30" s="47" t="s">
        <v>654</v>
      </c>
      <c r="C30" s="47" t="s">
        <v>655</v>
      </c>
      <c r="D30" s="48" t="s">
        <v>656</v>
      </c>
      <c r="E30" s="87" t="s">
        <v>657</v>
      </c>
      <c r="F30" s="47" t="s">
        <v>12</v>
      </c>
      <c r="G30" s="47" t="s">
        <v>19</v>
      </c>
      <c r="H30" s="48" t="s"/>
      <c r="I30" s="48" t="s">
        <v>187</v>
      </c>
      <c r="J30" s="13" t="s">
        <f>=_xlfn.CONCAT(B30," AS `",E30,"#v1`,")</f>
        <v>658</v>
      </c>
    </row>
    <row r="31" spans="1:10">
      <c r="A31" s="48" t="s">
        <v>599</v>
      </c>
      <c r="B31" s="47" t="s">
        <v>659</v>
      </c>
      <c r="C31" s="81" t="s">
        <v>660</v>
      </c>
      <c r="D31" s="54" t="s">
        <v>661</v>
      </c>
      <c r="E31" s="91" t="s">
        <v>662</v>
      </c>
      <c r="F31" s="47" t="s">
        <v>12</v>
      </c>
      <c r="G31" s="47" t="s">
        <v>19</v>
      </c>
      <c r="H31" s="48" t="s"/>
      <c r="I31" s="48" t="s">
        <v>187</v>
      </c>
      <c r="J31" s="13" t="s">
        <f>=_xlfn.CONCAT(B31," AS `",E31,"#v1`,")</f>
        <v>663</v>
      </c>
    </row>
    <row r="32" spans="1:10">
      <c r="A32" s="48" t="s">
        <v>599</v>
      </c>
      <c r="B32" s="47" t="s">
        <v>664</v>
      </c>
      <c r="C32" s="81" t="s">
        <v>665</v>
      </c>
      <c r="D32" s="54" t="s">
        <v>666</v>
      </c>
      <c r="E32" s="91" t="s">
        <v>667</v>
      </c>
      <c r="F32" s="47" t="s">
        <v>12</v>
      </c>
      <c r="G32" s="47" t="s">
        <v>19</v>
      </c>
      <c r="H32" s="48" t="s"/>
      <c r="I32" s="48" t="s">
        <v>187</v>
      </c>
      <c r="J32" s="13" t="s">
        <f>=_xlfn.CONCAT(B32," AS `",E32,"#v1`,")</f>
        <v>668</v>
      </c>
    </row>
    <row r="33" spans="1:10">
      <c r="A33" s="48" t="s">
        <v>599</v>
      </c>
      <c r="B33" s="47" t="s">
        <v>669</v>
      </c>
      <c r="C33" s="47" t="s">
        <v>670</v>
      </c>
      <c r="D33" s="48" t="s">
        <v>671</v>
      </c>
      <c r="E33" s="87" t="s">
        <v>672</v>
      </c>
      <c r="F33" s="47" t="s">
        <v>12</v>
      </c>
      <c r="G33" s="47" t="s">
        <v>19</v>
      </c>
      <c r="H33" s="48" t="s"/>
      <c r="I33" s="48" t="s">
        <v>187</v>
      </c>
      <c r="J33" s="13" t="s">
        <f>=_xlfn.CONCAT(B33," AS `",E33,"#v1`,")</f>
        <v>673</v>
      </c>
    </row>
    <row r="34" spans="1:10">
      <c r="A34" s="48" t="s">
        <v>599</v>
      </c>
      <c r="B34" s="47" t="s">
        <v>674</v>
      </c>
      <c r="C34" s="47" t="s">
        <v>675</v>
      </c>
      <c r="D34" s="48" t="s">
        <v>676</v>
      </c>
      <c r="E34" s="87" t="s">
        <v>677</v>
      </c>
      <c r="F34" s="47" t="s">
        <v>12</v>
      </c>
      <c r="G34" s="47" t="s">
        <v>19</v>
      </c>
      <c r="H34" s="48" t="s"/>
      <c r="I34" s="48" t="s">
        <v>187</v>
      </c>
      <c r="J34" s="13" t="s">
        <f>=_xlfn.CONCAT(B34," AS `",E34,"#v1`,")</f>
        <v>678</v>
      </c>
    </row>
    <row r="35" spans="1:10">
      <c r="A35" s="48" t="s">
        <v>599</v>
      </c>
      <c r="B35" s="47" t="s">
        <v>679</v>
      </c>
      <c r="C35" s="47" t="s">
        <v>680</v>
      </c>
      <c r="D35" s="48" t="s">
        <v>681</v>
      </c>
      <c r="E35" s="87" t="s">
        <v>682</v>
      </c>
      <c r="F35" s="47" t="s">
        <v>12</v>
      </c>
      <c r="G35" s="47" t="s">
        <v>19</v>
      </c>
      <c r="H35" s="48" t="s"/>
      <c r="I35" s="48" t="s">
        <v>187</v>
      </c>
      <c r="J35" s="13" t="s">
        <f>=_xlfn.CONCAT(B35," AS `",E35,"#v1`,")</f>
        <v>683</v>
      </c>
    </row>
    <row r="36" spans="1:10">
      <c r="A36" s="48" t="s">
        <v>599</v>
      </c>
      <c r="B36" s="47" t="s">
        <v>684</v>
      </c>
      <c r="C36" s="47" t="s">
        <v>685</v>
      </c>
      <c r="D36" s="48" t="s">
        <v>686</v>
      </c>
      <c r="E36" s="87" t="s">
        <v>687</v>
      </c>
      <c r="F36" s="47" t="s">
        <v>85</v>
      </c>
      <c r="G36" s="47" t="s">
        <v>19</v>
      </c>
      <c r="H36" s="48" t="s"/>
      <c r="I36" s="48" t="s">
        <v>187</v>
      </c>
      <c r="J36" s="13" t="s">
        <f>=_xlfn.CONCAT(B36," AS `",E36,"#v1`,")</f>
        <v>688</v>
      </c>
    </row>
    <row r="37" spans="1:27" s="287" customFormat="true">
      <c r="A37" s="48" t="s">
        <v>599</v>
      </c>
      <c r="B37" s="47" t="s">
        <v>689</v>
      </c>
      <c r="C37" s="47" t="s">
        <v>690</v>
      </c>
      <c r="D37" s="48" t="s">
        <v>691</v>
      </c>
      <c r="E37" s="87" t="s">
        <v>49</v>
      </c>
      <c r="F37" s="47" t="s">
        <v>12</v>
      </c>
      <c r="G37" s="47" t="s">
        <v>19</v>
      </c>
      <c r="H37" s="48" t="s"/>
      <c r="I37" s="48" t="s">
        <v>187</v>
      </c>
      <c r="J37" s="13" t="s">
        <f>=_xlfn.CONCAT(B37," AS `",E37,"#v1`,")</f>
        <v>692</v>
      </c>
      <c r="K37" s="31" t="s"/>
      <c r="L37" s="31" t="s"/>
      <c r="M37" s="31" t="s"/>
      <c r="N37" s="31" t="s"/>
      <c r="O37" s="31" t="s"/>
      <c r="P37" s="31" t="s"/>
      <c r="Q37" s="31" t="s"/>
      <c r="R37" s="31" t="s"/>
      <c r="S37" s="31" t="s"/>
      <c r="T37" s="31" t="s"/>
      <c r="U37" s="31" t="s"/>
      <c r="V37" s="31" t="s"/>
      <c r="W37" s="31" t="s"/>
      <c r="X37" s="31" t="s"/>
      <c r="Y37" s="31" t="s"/>
      <c r="Z37" s="31" t="s"/>
      <c r="AA37" s="31" t="s"/>
    </row>
    <row r="38" spans="1:10">
      <c r="A38" s="48" t="s">
        <v>599</v>
      </c>
      <c r="B38" s="47" t="s">
        <v>693</v>
      </c>
      <c r="C38" s="47" t="s">
        <v>694</v>
      </c>
      <c r="D38" s="48" t="s">
        <v>695</v>
      </c>
      <c r="E38" s="87" t="s">
        <v>696</v>
      </c>
      <c r="F38" s="47" t="s">
        <v>12</v>
      </c>
      <c r="G38" s="47" t="s">
        <v>19</v>
      </c>
      <c r="H38" s="48" t="s"/>
      <c r="I38" s="48" t="s">
        <v>187</v>
      </c>
      <c r="J38" s="13" t="s">
        <f>=_xlfn.CONCAT(B38," AS `",E38,"#v1`,")</f>
        <v>697</v>
      </c>
    </row>
    <row r="39" spans="1:10">
      <c r="A39" s="48" t="s">
        <v>599</v>
      </c>
      <c r="B39" s="47" t="s">
        <v>698</v>
      </c>
      <c r="C39" s="47" t="s">
        <v>699</v>
      </c>
      <c r="D39" s="47" t="s">
        <v>699</v>
      </c>
      <c r="E39" s="87" t="s">
        <v>700</v>
      </c>
      <c r="F39" s="47" t="s">
        <v>119</v>
      </c>
      <c r="G39" s="47" t="s">
        <v>19</v>
      </c>
      <c r="H39" s="48" t="s"/>
      <c r="I39" s="48" t="s">
        <v>187</v>
      </c>
      <c r="J39" s="13" t="s">
        <f>=_xlfn.CONCAT(B39," AS `",E39,"#v1`,")</f>
        <v>701</v>
      </c>
    </row>
    <row r="40" spans="1:10">
      <c r="A40" s="48" t="s">
        <v>599</v>
      </c>
      <c r="B40" s="47" t="s">
        <v>702</v>
      </c>
      <c r="C40" s="47" t="s">
        <v>703</v>
      </c>
      <c r="D40" s="47" t="s">
        <v>703</v>
      </c>
      <c r="E40" s="87" t="s">
        <v>704</v>
      </c>
      <c r="F40" s="47" t="s">
        <v>119</v>
      </c>
      <c r="G40" s="47" t="s">
        <v>19</v>
      </c>
      <c r="H40" s="48" t="s"/>
      <c r="I40" s="48" t="s">
        <v>187</v>
      </c>
      <c r="J40" s="13" t="s">
        <f>=_xlfn.CONCAT(B40," AS `",E40,"#v1`,")</f>
        <v>705</v>
      </c>
    </row>
    <row r="41" spans="1:27" s="484" customFormat="true">
      <c r="A41" s="54" t="s">
        <v>599</v>
      </c>
      <c r="B41" s="52" t="s">
        <v>450</v>
      </c>
      <c r="C41" s="52" t="s">
        <v>706</v>
      </c>
      <c r="D41" s="54" t="s">
        <v>451</v>
      </c>
      <c r="E41" s="54" t="s">
        <v>452</v>
      </c>
      <c r="F41" s="52" t="s">
        <v>12</v>
      </c>
      <c r="G41" s="92" t="s">
        <v>19</v>
      </c>
      <c r="H41" s="54" t="s"/>
      <c r="I41" s="54" t="s">
        <v>187</v>
      </c>
      <c r="J41" s="13" t="s">
        <f>=_xlfn.CONCAT(B41," AS `",E41,"#v1`,")</f>
        <v>453</v>
      </c>
      <c r="K41" s="31" t="s"/>
      <c r="L41" s="31" t="s"/>
      <c r="M41" s="31" t="s"/>
      <c r="N41" s="31" t="s"/>
      <c r="O41" s="31" t="s"/>
      <c r="P41" s="31" t="s"/>
      <c r="Q41" s="31" t="s"/>
      <c r="R41" s="31" t="s"/>
      <c r="S41" s="31" t="s"/>
      <c r="T41" s="31" t="s"/>
      <c r="U41" s="31" t="s"/>
      <c r="V41" s="31" t="s"/>
      <c r="W41" s="31" t="s"/>
      <c r="X41" s="31" t="s"/>
      <c r="Y41" s="31" t="s"/>
      <c r="Z41" s="31" t="s"/>
      <c r="AA41" s="31" t="s"/>
    </row>
    <row r="42" spans="1:27" s="484" customFormat="true">
      <c r="A42" s="54" t="s">
        <v>599</v>
      </c>
      <c r="B42" s="52" t="s">
        <v>463</v>
      </c>
      <c r="C42" s="52" t="s">
        <v>464</v>
      </c>
      <c r="D42" s="54" t="s">
        <v>235</v>
      </c>
      <c r="E42" s="54" t="s">
        <v>236</v>
      </c>
      <c r="F42" s="52" t="s">
        <v>12</v>
      </c>
      <c r="G42" s="52" t="s">
        <v>19</v>
      </c>
      <c r="H42" s="54" t="s"/>
      <c r="I42" s="54" t="s">
        <v>187</v>
      </c>
      <c r="J42" s="13" t="s">
        <f>=_xlfn.CONCAT(B42," AS `",E42,"#v1`,")</f>
        <v>465</v>
      </c>
      <c r="K42" s="31" t="s"/>
      <c r="L42" s="31" t="s"/>
      <c r="M42" s="31" t="s"/>
      <c r="N42" s="31" t="s"/>
      <c r="O42" s="31" t="s"/>
      <c r="P42" s="31" t="s"/>
      <c r="Q42" s="31" t="s"/>
      <c r="R42" s="31" t="s"/>
      <c r="S42" s="31" t="s"/>
      <c r="T42" s="31" t="s"/>
      <c r="U42" s="31" t="s"/>
      <c r="V42" s="31" t="s"/>
      <c r="W42" s="31" t="s"/>
      <c r="X42" s="31" t="s"/>
      <c r="Y42" s="31" t="s"/>
      <c r="Z42" s="31" t="s"/>
      <c r="AA42" s="31" t="s"/>
    </row>
    <row r="43" spans="1:27" s="484" customFormat="true">
      <c r="A43" s="54" t="s">
        <v>599</v>
      </c>
      <c r="B43" s="52" t="s">
        <v>466</v>
      </c>
      <c r="C43" s="52" t="s">
        <v>467</v>
      </c>
      <c r="D43" s="54" t="s">
        <v>468</v>
      </c>
      <c r="E43" s="54" t="s">
        <v>469</v>
      </c>
      <c r="F43" s="52" t="s">
        <v>12</v>
      </c>
      <c r="G43" s="52" t="s">
        <v>19</v>
      </c>
      <c r="H43" s="54" t="s"/>
      <c r="I43" s="54" t="s">
        <v>187</v>
      </c>
      <c r="J43" s="13" t="s">
        <f>=_xlfn.CONCAT(B43," AS `",E43,"#v1`,")</f>
        <v>470</v>
      </c>
      <c r="K43" s="31" t="s"/>
      <c r="L43" s="31" t="s"/>
      <c r="M43" s="31" t="s"/>
      <c r="N43" s="31" t="s"/>
      <c r="O43" s="31" t="s"/>
      <c r="P43" s="31" t="s"/>
      <c r="Q43" s="31" t="s"/>
      <c r="R43" s="31" t="s"/>
      <c r="S43" s="31" t="s"/>
      <c r="T43" s="31" t="s"/>
      <c r="U43" s="31" t="s"/>
      <c r="V43" s="31" t="s"/>
      <c r="W43" s="31" t="s"/>
      <c r="X43" s="31" t="s"/>
      <c r="Y43" s="31" t="s"/>
      <c r="Z43" s="31" t="s"/>
      <c r="AA43" s="31" t="s"/>
    </row>
    <row r="44" spans="1:10">
      <c r="A44" s="54" t="s">
        <v>599</v>
      </c>
      <c r="B44" s="52" t="s">
        <v>487</v>
      </c>
      <c r="C44" s="52" t="s">
        <v>707</v>
      </c>
      <c r="D44" s="52" t="s">
        <v>708</v>
      </c>
      <c r="E44" s="54" t="s">
        <v>490</v>
      </c>
      <c r="F44" s="52" t="s">
        <v>119</v>
      </c>
      <c r="G44" s="52" t="s">
        <v>19</v>
      </c>
      <c r="H44" s="54" t="s"/>
      <c r="I44" s="54" t="s">
        <v>187</v>
      </c>
      <c r="J44" s="13" t="s">
        <f>=_xlfn.CONCAT(B44," AS `",E44,"#v1`,")</f>
        <v>491</v>
      </c>
    </row>
    <row r="45" spans="1:27" s="485" customFormat="true">
      <c r="A45" s="54" t="s">
        <v>599</v>
      </c>
      <c r="B45" s="52" t="s">
        <v>492</v>
      </c>
      <c r="C45" s="52" t="s">
        <v>709</v>
      </c>
      <c r="D45" s="52" t="s">
        <v>710</v>
      </c>
      <c r="E45" s="54" t="s">
        <v>495</v>
      </c>
      <c r="F45" s="52" t="s">
        <v>119</v>
      </c>
      <c r="G45" s="52" t="s">
        <v>19</v>
      </c>
      <c r="H45" s="54" t="s"/>
      <c r="I45" s="54" t="s">
        <v>187</v>
      </c>
      <c r="J45" s="13" t="s">
        <f>=_xlfn.CONCAT(B45," AS `",E45,"#v1`,")</f>
        <v>496</v>
      </c>
      <c r="K45" s="31" t="s"/>
      <c r="L45" s="31" t="s"/>
      <c r="M45" s="31" t="s"/>
      <c r="N45" s="31" t="s"/>
      <c r="O45" s="31" t="s"/>
      <c r="P45" s="31" t="s"/>
      <c r="Q45" s="31" t="s"/>
      <c r="R45" s="31" t="s"/>
      <c r="S45" s="31" t="s"/>
      <c r="T45" s="31" t="s"/>
      <c r="U45" s="31" t="s"/>
      <c r="V45" s="31" t="s"/>
      <c r="W45" s="31" t="s"/>
      <c r="X45" s="31" t="s"/>
      <c r="Y45" s="31" t="s"/>
      <c r="Z45" s="31" t="s"/>
      <c r="AA45" s="31" t="s"/>
    </row>
    <row r="46" spans="1:10">
      <c r="A46" s="54" t="s">
        <v>599</v>
      </c>
      <c r="B46" s="52" t="s">
        <v>497</v>
      </c>
      <c r="C46" s="52" t="s">
        <v>498</v>
      </c>
      <c r="D46" s="52" t="s">
        <v>498</v>
      </c>
      <c r="E46" s="54" t="s">
        <v>499</v>
      </c>
      <c r="F46" s="52" t="s">
        <v>119</v>
      </c>
      <c r="G46" s="52" t="s">
        <v>19</v>
      </c>
      <c r="H46" s="54" t="s"/>
      <c r="I46" s="54" t="s">
        <v>187</v>
      </c>
      <c r="J46" s="13" t="s">
        <f>=_xlfn.CONCAT(B46," AS `",E46,"#v1`,")</f>
        <v>500</v>
      </c>
    </row>
    <row r="47" spans="1:10">
      <c r="A47" s="54" t="s">
        <v>599</v>
      </c>
      <c r="B47" s="52" t="s">
        <v>505</v>
      </c>
      <c r="C47" s="52" t="s">
        <v>506</v>
      </c>
      <c r="D47" s="52" t="s">
        <v>506</v>
      </c>
      <c r="E47" s="54" t="s">
        <v>507</v>
      </c>
      <c r="F47" s="52" t="s">
        <v>119</v>
      </c>
      <c r="G47" s="52" t="s">
        <v>19</v>
      </c>
      <c r="H47" s="54" t="s"/>
      <c r="I47" s="54" t="s">
        <v>187</v>
      </c>
      <c r="J47" s="13" t="s">
        <f>=_xlfn.CONCAT(B47," AS `",E47,"#v1`,")</f>
        <v>508</v>
      </c>
    </row>
    <row r="48" spans="1:10">
      <c r="A48" s="54" t="s">
        <v>599</v>
      </c>
      <c r="B48" s="52" t="s">
        <v>501</v>
      </c>
      <c r="C48" s="52" t="s">
        <v>502</v>
      </c>
      <c r="D48" s="52" t="s">
        <v>502</v>
      </c>
      <c r="E48" s="54" t="s">
        <v>503</v>
      </c>
      <c r="F48" s="52" t="s">
        <v>119</v>
      </c>
      <c r="G48" s="52" t="s">
        <v>19</v>
      </c>
      <c r="H48" s="54" t="s"/>
      <c r="I48" s="54" t="s">
        <v>187</v>
      </c>
      <c r="J48" s="13" t="s">
        <f>=_xlfn.CONCAT(B48," AS `",E48,"#v1`,")</f>
        <v>504</v>
      </c>
    </row>
    <row r="49" spans="1:27" s="474" customFormat="true">
      <c r="A49" s="93" t="s">
        <v>711</v>
      </c>
      <c r="B49" s="94" t="s">
        <v>459</v>
      </c>
      <c r="C49" s="94" t="s">
        <v>460</v>
      </c>
      <c r="D49" s="94" t="s">
        <v>460</v>
      </c>
      <c r="E49" s="95" t="s">
        <v>461</v>
      </c>
      <c r="F49" s="94" t="s">
        <v>12</v>
      </c>
      <c r="G49" s="94" t="s">
        <v>19</v>
      </c>
      <c r="H49" s="95" t="s"/>
      <c r="I49" s="95" t="s">
        <v>187</v>
      </c>
      <c r="J49" s="96" t="s">
        <f>=_xlfn.CONCAT(B49," AS `",E49,"#v1`,")</f>
        <v>462</v>
      </c>
      <c r="K49" s="97" t="s"/>
      <c r="L49" s="97" t="s"/>
      <c r="M49" s="97" t="s"/>
      <c r="N49" s="97" t="s"/>
      <c r="O49" s="97" t="s"/>
      <c r="P49" s="97" t="s"/>
      <c r="Q49" s="97" t="s"/>
      <c r="R49" s="97" t="s"/>
      <c r="S49" s="97" t="s"/>
      <c r="T49" s="97" t="s"/>
      <c r="U49" s="97" t="s"/>
      <c r="V49" s="97" t="s"/>
      <c r="W49" s="97" t="s"/>
      <c r="X49" s="97" t="s"/>
      <c r="Y49" s="97" t="s"/>
      <c r="Z49" s="97" t="s"/>
      <c r="AA49" s="97" t="s"/>
    </row>
    <row r="50" spans="1:27" s="474" customFormat="true">
      <c r="A50" s="93" t="s">
        <v>711</v>
      </c>
      <c r="B50" s="94" t="s">
        <v>712</v>
      </c>
      <c r="C50" s="94" t="s">
        <v>713</v>
      </c>
      <c r="D50" s="95" t="s">
        <v>714</v>
      </c>
      <c r="E50" s="95" t="s">
        <v>715</v>
      </c>
      <c r="F50" s="94" t="s">
        <v>12</v>
      </c>
      <c r="G50" s="94" t="s">
        <v>19</v>
      </c>
      <c r="H50" s="95" t="s"/>
      <c r="I50" s="95" t="s">
        <v>187</v>
      </c>
      <c r="J50" s="96" t="s">
        <f>=_xlfn.CONCAT(B50," AS `",E50,"#v1`,")</f>
        <v>716</v>
      </c>
      <c r="K50" s="97" t="s"/>
      <c r="L50" s="97" t="s"/>
      <c r="M50" s="97" t="s"/>
      <c r="N50" s="97" t="s"/>
      <c r="O50" s="97" t="s"/>
      <c r="P50" s="97" t="s"/>
      <c r="Q50" s="97" t="s"/>
      <c r="R50" s="97" t="s"/>
      <c r="S50" s="97" t="s"/>
      <c r="T50" s="97" t="s"/>
      <c r="U50" s="97" t="s"/>
      <c r="V50" s="97" t="s"/>
      <c r="W50" s="97" t="s"/>
      <c r="X50" s="97" t="s"/>
      <c r="Y50" s="97" t="s"/>
      <c r="Z50" s="97" t="s"/>
      <c r="AA50" s="97" t="s"/>
    </row>
    <row r="51" spans="1:27" s="474" customFormat="true">
      <c r="A51" s="93" t="s">
        <v>711</v>
      </c>
      <c r="B51" s="94" t="s">
        <v>717</v>
      </c>
      <c r="C51" s="94" t="s">
        <v>718</v>
      </c>
      <c r="D51" s="94" t="s">
        <v>719</v>
      </c>
      <c r="E51" s="95" t="s">
        <v>720</v>
      </c>
      <c r="F51" s="94" t="s">
        <v>12</v>
      </c>
      <c r="G51" s="94" t="s">
        <v>19</v>
      </c>
      <c r="H51" s="95" t="s"/>
      <c r="I51" s="95" t="s">
        <v>187</v>
      </c>
      <c r="J51" s="96" t="s">
        <f>=_xlfn.CONCAT(B51," AS `",E51,"#v1`,")</f>
        <v>721</v>
      </c>
      <c r="K51" s="97" t="s"/>
      <c r="L51" s="97" t="s"/>
      <c r="M51" s="97" t="s"/>
      <c r="N51" s="97" t="s"/>
      <c r="O51" s="97" t="s"/>
      <c r="P51" s="97" t="s"/>
      <c r="Q51" s="97" t="s"/>
      <c r="R51" s="97" t="s"/>
      <c r="S51" s="97" t="s"/>
      <c r="T51" s="97" t="s"/>
      <c r="U51" s="97" t="s"/>
      <c r="V51" s="97" t="s"/>
      <c r="W51" s="97" t="s"/>
      <c r="X51" s="97" t="s"/>
      <c r="Y51" s="97" t="s"/>
      <c r="Z51" s="97" t="s"/>
      <c r="AA51" s="97" t="s"/>
    </row>
    <row r="52" spans="1:27" s="474" customFormat="true">
      <c r="A52" s="93" t="s">
        <v>711</v>
      </c>
      <c r="B52" s="94" t="s">
        <v>501</v>
      </c>
      <c r="C52" s="94" t="s">
        <v>502</v>
      </c>
      <c r="D52" s="94" t="s">
        <v>555</v>
      </c>
      <c r="E52" s="95" t="s">
        <v>556</v>
      </c>
      <c r="F52" s="94" t="s">
        <v>119</v>
      </c>
      <c r="G52" s="94" t="s">
        <v>19</v>
      </c>
      <c r="H52" s="95" t="s"/>
      <c r="I52" s="95" t="s">
        <v>187</v>
      </c>
      <c r="J52" s="96" t="s">
        <f>=_xlfn.CONCAT(B52," AS `",E52,"#v1`,")</f>
        <v>557</v>
      </c>
      <c r="K52" s="97" t="s"/>
      <c r="L52" s="97" t="s"/>
      <c r="M52" s="97" t="s"/>
      <c r="N52" s="97" t="s"/>
      <c r="O52" s="97" t="s"/>
      <c r="P52" s="97" t="s"/>
      <c r="Q52" s="97" t="s"/>
      <c r="R52" s="97" t="s"/>
      <c r="S52" s="97" t="s"/>
      <c r="T52" s="97" t="s"/>
      <c r="U52" s="97" t="s"/>
      <c r="V52" s="97" t="s"/>
      <c r="W52" s="97" t="s"/>
      <c r="X52" s="97" t="s"/>
      <c r="Y52" s="97" t="s"/>
      <c r="Z52" s="97" t="s"/>
      <c r="AA52" s="97" t="s"/>
    </row>
    <row r="53" spans="1:27" s="474" customFormat="true">
      <c r="A53" s="93" t="s">
        <v>711</v>
      </c>
      <c r="B53" s="94" t="s">
        <v>505</v>
      </c>
      <c r="C53" s="94" t="s">
        <v>506</v>
      </c>
      <c r="D53" s="94" t="s">
        <v>558</v>
      </c>
      <c r="E53" s="95" t="s">
        <v>559</v>
      </c>
      <c r="F53" s="94" t="s">
        <v>119</v>
      </c>
      <c r="G53" s="94" t="s">
        <v>19</v>
      </c>
      <c r="H53" s="95" t="s"/>
      <c r="I53" s="95" t="s">
        <v>187</v>
      </c>
      <c r="J53" s="96" t="s">
        <f>=_xlfn.CONCAT(B53," AS `",E53,"#v1`,")</f>
        <v>560</v>
      </c>
      <c r="K53" s="97" t="s"/>
      <c r="L53" s="97" t="s"/>
      <c r="M53" s="97" t="s"/>
      <c r="N53" s="97" t="s"/>
      <c r="O53" s="97" t="s"/>
      <c r="P53" s="97" t="s"/>
      <c r="Q53" s="97" t="s"/>
      <c r="R53" s="97" t="s"/>
      <c r="S53" s="97" t="s"/>
      <c r="T53" s="97" t="s"/>
      <c r="U53" s="97" t="s"/>
      <c r="V53" s="97" t="s"/>
      <c r="W53" s="97" t="s"/>
      <c r="X53" s="97" t="s"/>
      <c r="Y53" s="97" t="s"/>
      <c r="Z53" s="97" t="s"/>
      <c r="AA53" s="97" t="s"/>
    </row>
    <row r="54" spans="1:27" s="474" customFormat="true">
      <c r="A54" s="93" t="s">
        <v>711</v>
      </c>
      <c r="B54" s="94" t="s">
        <v>520</v>
      </c>
      <c r="C54" s="94" t="s">
        <v>521</v>
      </c>
      <c r="D54" s="95" t="s">
        <v>522</v>
      </c>
      <c r="E54" s="95" t="s">
        <v>523</v>
      </c>
      <c r="F54" s="94" t="s">
        <v>722</v>
      </c>
      <c r="G54" s="94" t="s">
        <v>19</v>
      </c>
      <c r="H54" s="95" t="s"/>
      <c r="I54" s="95" t="s">
        <v>187</v>
      </c>
      <c r="J54" s="96" t="s">
        <f>=_xlfn.CONCAT(B54," AS `",E54,"#v1`,")</f>
        <v>525</v>
      </c>
      <c r="K54" s="97" t="s"/>
      <c r="L54" s="97" t="s"/>
      <c r="M54" s="97" t="s"/>
      <c r="N54" s="97" t="s"/>
      <c r="O54" s="97" t="s"/>
      <c r="P54" s="97" t="s"/>
      <c r="Q54" s="97" t="s"/>
      <c r="R54" s="97" t="s"/>
      <c r="S54" s="97" t="s"/>
      <c r="T54" s="97" t="s"/>
      <c r="U54" s="97" t="s"/>
      <c r="V54" s="97" t="s"/>
      <c r="W54" s="97" t="s"/>
      <c r="X54" s="97" t="s"/>
      <c r="Y54" s="97" t="s"/>
      <c r="Z54" s="97" t="s"/>
      <c r="AA54" s="97" t="s"/>
    </row>
    <row r="55" spans="1:27" s="474" customFormat="true">
      <c r="A55" s="93" t="s">
        <v>711</v>
      </c>
      <c r="B55" s="94" t="s">
        <v>723</v>
      </c>
      <c r="C55" s="94" t="s">
        <v>723</v>
      </c>
      <c r="D55" s="95" t="s">
        <v>724</v>
      </c>
      <c r="E55" s="95" t="s">
        <v>725</v>
      </c>
      <c r="F55" s="94" t="s">
        <v>722</v>
      </c>
      <c r="G55" s="94" t="s">
        <v>19</v>
      </c>
      <c r="H55" s="95" t="s"/>
      <c r="I55" s="95" t="s">
        <v>187</v>
      </c>
      <c r="J55" s="96" t="s">
        <f>=_xlfn.CONCAT(B55," AS `",E55,"#v1`,")</f>
        <v>726</v>
      </c>
      <c r="K55" s="97" t="s"/>
      <c r="L55" s="97" t="s"/>
      <c r="M55" s="97" t="s"/>
      <c r="N55" s="97" t="s"/>
      <c r="O55" s="97" t="s"/>
      <c r="P55" s="97" t="s"/>
      <c r="Q55" s="97" t="s"/>
      <c r="R55" s="97" t="s"/>
      <c r="S55" s="97" t="s"/>
      <c r="T55" s="97" t="s"/>
      <c r="U55" s="97" t="s"/>
      <c r="V55" s="97" t="s"/>
      <c r="W55" s="97" t="s"/>
      <c r="X55" s="97" t="s"/>
      <c r="Y55" s="97" t="s"/>
      <c r="Z55" s="97" t="s"/>
      <c r="AA55" s="97" t="s"/>
    </row>
    <row r="56" spans="1:27" s="474" customFormat="true">
      <c r="A56" s="93" t="s">
        <v>711</v>
      </c>
      <c r="B56" s="94" t="s">
        <v>526</v>
      </c>
      <c r="C56" s="94" t="s">
        <v>527</v>
      </c>
      <c r="D56" s="94" t="s">
        <v>528</v>
      </c>
      <c r="E56" s="95" t="s">
        <v>529</v>
      </c>
      <c r="F56" s="94" t="s">
        <v>722</v>
      </c>
      <c r="G56" s="94" t="s">
        <v>19</v>
      </c>
      <c r="H56" s="95" t="s"/>
      <c r="I56" s="95" t="s">
        <v>187</v>
      </c>
      <c r="J56" s="96" t="s">
        <f>=_xlfn.CONCAT(B56," AS `",E56,"#v1`,")</f>
        <v>530</v>
      </c>
      <c r="K56" s="97" t="s"/>
      <c r="L56" s="97" t="s"/>
      <c r="M56" s="97" t="s"/>
      <c r="N56" s="97" t="s"/>
      <c r="O56" s="97" t="s"/>
      <c r="P56" s="97" t="s"/>
      <c r="Q56" s="97" t="s"/>
      <c r="R56" s="97" t="s"/>
      <c r="S56" s="97" t="s"/>
      <c r="T56" s="97" t="s"/>
      <c r="U56" s="97" t="s"/>
      <c r="V56" s="97" t="s"/>
      <c r="W56" s="97" t="s"/>
      <c r="X56" s="97" t="s"/>
      <c r="Y56" s="97" t="s"/>
      <c r="Z56" s="97" t="s"/>
      <c r="AA56" s="97" t="s"/>
    </row>
    <row r="57" spans="1:27" s="474" customFormat="true">
      <c r="A57" s="93" t="s">
        <v>711</v>
      </c>
      <c r="B57" s="94" t="s">
        <v>531</v>
      </c>
      <c r="C57" s="94" t="s">
        <v>532</v>
      </c>
      <c r="D57" s="94" t="s">
        <v>533</v>
      </c>
      <c r="E57" s="95" t="s">
        <v>534</v>
      </c>
      <c r="F57" s="94" t="s">
        <v>722</v>
      </c>
      <c r="G57" s="94" t="s">
        <v>19</v>
      </c>
      <c r="H57" s="95" t="s"/>
      <c r="I57" s="95" t="s">
        <v>187</v>
      </c>
      <c r="J57" s="96" t="s">
        <f>=_xlfn.CONCAT(B57," AS `",E57,"#v1`,")</f>
        <v>535</v>
      </c>
      <c r="K57" s="97" t="s"/>
      <c r="L57" s="97" t="s"/>
      <c r="M57" s="97" t="s"/>
      <c r="N57" s="97" t="s"/>
      <c r="O57" s="97" t="s"/>
      <c r="P57" s="97" t="s"/>
      <c r="Q57" s="97" t="s"/>
      <c r="R57" s="97" t="s"/>
      <c r="S57" s="97" t="s"/>
      <c r="T57" s="97" t="s"/>
      <c r="U57" s="97" t="s"/>
      <c r="V57" s="97" t="s"/>
      <c r="W57" s="97" t="s"/>
      <c r="X57" s="97" t="s"/>
      <c r="Y57" s="97" t="s"/>
      <c r="Z57" s="97" t="s"/>
      <c r="AA57" s="97" t="s"/>
    </row>
    <row r="58" spans="1:27" s="474" customFormat="true">
      <c r="A58" s="93" t="s">
        <v>711</v>
      </c>
      <c r="B58" s="94" t="s">
        <v>536</v>
      </c>
      <c r="C58" s="94" t="s">
        <v>537</v>
      </c>
      <c r="D58" s="94" t="s">
        <v>538</v>
      </c>
      <c r="E58" s="95" t="s">
        <v>539</v>
      </c>
      <c r="F58" s="94" t="s">
        <v>722</v>
      </c>
      <c r="G58" s="94" t="s">
        <v>19</v>
      </c>
      <c r="H58" s="95" t="s"/>
      <c r="I58" s="95" t="s">
        <v>187</v>
      </c>
      <c r="J58" s="96" t="s">
        <f>=_xlfn.CONCAT(B58," AS `",E58,"#v1`,")</f>
        <v>540</v>
      </c>
      <c r="K58" s="97" t="s"/>
      <c r="L58" s="97" t="s"/>
      <c r="M58" s="97" t="s"/>
      <c r="N58" s="97" t="s"/>
      <c r="O58" s="97" t="s"/>
      <c r="P58" s="97" t="s"/>
      <c r="Q58" s="97" t="s"/>
      <c r="R58" s="97" t="s"/>
      <c r="S58" s="97" t="s"/>
      <c r="T58" s="97" t="s"/>
      <c r="U58" s="97" t="s"/>
      <c r="V58" s="97" t="s"/>
      <c r="W58" s="97" t="s"/>
      <c r="X58" s="97" t="s"/>
      <c r="Y58" s="97" t="s"/>
      <c r="Z58" s="97" t="s"/>
      <c r="AA58" s="97" t="s"/>
    </row>
    <row r="59" spans="1:27" s="474" customFormat="true">
      <c r="A59" s="93" t="s">
        <v>711</v>
      </c>
      <c r="B59" s="94" t="s">
        <v>541</v>
      </c>
      <c r="C59" s="94" t="s">
        <v>542</v>
      </c>
      <c r="D59" s="95" t="s">
        <v>542</v>
      </c>
      <c r="E59" s="95" t="s">
        <v>543</v>
      </c>
      <c r="F59" s="94" t="s">
        <v>722</v>
      </c>
      <c r="G59" s="94" t="s">
        <v>19</v>
      </c>
      <c r="H59" s="95" t="s"/>
      <c r="I59" s="95" t="s">
        <v>187</v>
      </c>
      <c r="J59" s="96" t="s">
        <f>=_xlfn.CONCAT(B59," AS `",E59,"#v1`,")</f>
        <v>544</v>
      </c>
      <c r="K59" s="97" t="s"/>
      <c r="L59" s="97" t="s"/>
      <c r="M59" s="97" t="s"/>
      <c r="N59" s="97" t="s"/>
      <c r="O59" s="97" t="s"/>
      <c r="P59" s="97" t="s"/>
      <c r="Q59" s="97" t="s"/>
      <c r="R59" s="97" t="s"/>
      <c r="S59" s="97" t="s"/>
      <c r="T59" s="97" t="s"/>
      <c r="U59" s="97" t="s"/>
      <c r="V59" s="97" t="s"/>
      <c r="W59" s="97" t="s"/>
      <c r="X59" s="97" t="s"/>
      <c r="Y59" s="97" t="s"/>
      <c r="Z59" s="97" t="s"/>
      <c r="AA59" s="97" t="s"/>
    </row>
    <row r="60" spans="1:27" s="474" customFormat="true">
      <c r="A60" s="95" t="s">
        <v>727</v>
      </c>
      <c r="B60" s="94" t="s">
        <v>728</v>
      </c>
      <c r="C60" s="94" t="s">
        <v>729</v>
      </c>
      <c r="D60" s="95" t="s">
        <v>730</v>
      </c>
      <c r="E60" s="95" t="s">
        <v>731</v>
      </c>
      <c r="F60" s="94" t="s">
        <v>12</v>
      </c>
      <c r="G60" s="98" t="s">
        <v>19</v>
      </c>
      <c r="H60" s="95" t="s"/>
      <c r="I60" s="95" t="s">
        <v>187</v>
      </c>
      <c r="J60" s="96">
        <v>1</v>
      </c>
      <c r="K60" s="97" t="s"/>
      <c r="L60" s="97" t="s"/>
      <c r="M60" s="97" t="s"/>
      <c r="N60" s="97" t="s"/>
      <c r="O60" s="97" t="s"/>
      <c r="P60" s="97" t="s"/>
      <c r="Q60" s="97" t="s"/>
      <c r="R60" s="97" t="s"/>
      <c r="S60" s="97" t="s"/>
      <c r="T60" s="97" t="s"/>
      <c r="U60" s="97" t="s"/>
      <c r="V60" s="97" t="s"/>
      <c r="W60" s="97" t="s"/>
      <c r="X60" s="97" t="s"/>
      <c r="Y60" s="97" t="s"/>
      <c r="Z60" s="97" t="s"/>
      <c r="AA60" s="97" t="s"/>
    </row>
    <row r="61" spans="1:27" s="474" customFormat="true">
      <c r="A61" s="95" t="s">
        <v>727</v>
      </c>
      <c r="B61" s="94" t="s">
        <v>732</v>
      </c>
      <c r="C61" s="94" t="s">
        <v>732</v>
      </c>
      <c r="D61" s="95" t="s">
        <v>733</v>
      </c>
      <c r="E61" s="95" t="s">
        <v>58</v>
      </c>
      <c r="F61" s="94" t="s">
        <v>12</v>
      </c>
      <c r="G61" s="98" t="s">
        <v>19</v>
      </c>
      <c r="H61" s="95" t="s"/>
      <c r="I61" s="95" t="s">
        <v>187</v>
      </c>
      <c r="J61" s="96">
        <v>1</v>
      </c>
      <c r="K61" s="97" t="s"/>
      <c r="L61" s="97" t="s"/>
      <c r="M61" s="97" t="s"/>
      <c r="N61" s="97" t="s"/>
      <c r="O61" s="97" t="s"/>
      <c r="P61" s="97" t="s"/>
      <c r="Q61" s="97" t="s"/>
      <c r="R61" s="97" t="s"/>
      <c r="S61" s="97" t="s"/>
      <c r="T61" s="97" t="s"/>
      <c r="U61" s="97" t="s"/>
      <c r="V61" s="97" t="s"/>
      <c r="W61" s="97" t="s"/>
      <c r="X61" s="97" t="s"/>
      <c r="Y61" s="97" t="s"/>
      <c r="Z61" s="97" t="s"/>
      <c r="AA61" s="97" t="s"/>
    </row>
    <row r="62" spans="1:27" s="474" customFormat="true">
      <c r="A62" s="95" t="s">
        <v>727</v>
      </c>
      <c r="B62" s="94" t="s">
        <v>734</v>
      </c>
      <c r="C62" s="94" t="s">
        <v>734</v>
      </c>
      <c r="D62" s="95" t="s">
        <v>735</v>
      </c>
      <c r="E62" s="95" t="s">
        <v>735</v>
      </c>
      <c r="F62" s="94" t="s">
        <v>12</v>
      </c>
      <c r="G62" s="98" t="s">
        <v>19</v>
      </c>
      <c r="H62" s="95" t="s"/>
      <c r="I62" s="95" t="s">
        <v>187</v>
      </c>
      <c r="J62" s="96">
        <v>1</v>
      </c>
      <c r="K62" s="97" t="s"/>
      <c r="L62" s="97" t="s"/>
      <c r="M62" s="97" t="s"/>
      <c r="N62" s="97" t="s"/>
      <c r="O62" s="97" t="s"/>
      <c r="P62" s="97" t="s"/>
      <c r="Q62" s="97" t="s"/>
      <c r="R62" s="97" t="s"/>
      <c r="S62" s="97" t="s"/>
      <c r="T62" s="97" t="s"/>
      <c r="U62" s="97" t="s"/>
      <c r="V62" s="97" t="s"/>
      <c r="W62" s="97" t="s"/>
      <c r="X62" s="97" t="s"/>
      <c r="Y62" s="97" t="s"/>
      <c r="Z62" s="97" t="s"/>
      <c r="AA62" s="97" t="s"/>
    </row>
    <row r="63" spans="1:27" s="474" customFormat="true">
      <c r="A63" s="99" t="s">
        <v>727</v>
      </c>
      <c r="B63" s="100" t="s">
        <v>736</v>
      </c>
      <c r="C63" s="101" t="s">
        <v>737</v>
      </c>
      <c r="D63" s="99" t="s">
        <v>738</v>
      </c>
      <c r="E63" s="99" t="s">
        <v>739</v>
      </c>
      <c r="F63" s="100" t="s">
        <v>119</v>
      </c>
      <c r="G63" s="100" t="s">
        <v>19</v>
      </c>
      <c r="H63" s="99" t="s"/>
      <c r="I63" s="99" t="s">
        <v>187</v>
      </c>
      <c r="J63" s="97" t="s"/>
      <c r="K63" s="97" t="s"/>
      <c r="L63" s="97" t="s"/>
      <c r="M63" s="97" t="s"/>
      <c r="N63" s="97" t="s"/>
      <c r="O63" s="97" t="s"/>
      <c r="P63" s="97" t="s"/>
      <c r="Q63" s="97" t="s"/>
      <c r="R63" s="97" t="s"/>
      <c r="S63" s="97" t="s"/>
      <c r="T63" s="97" t="s"/>
      <c r="U63" s="97" t="s"/>
      <c r="V63" s="97" t="s"/>
      <c r="W63" s="97" t="s"/>
      <c r="X63" s="97" t="s"/>
      <c r="Y63" s="97" t="s"/>
      <c r="Z63" s="97" t="s"/>
      <c r="AA63" s="97" t="s"/>
    </row>
    <row r="64" spans="1:27" s="474" customFormat="true">
      <c r="A64" s="99" t="s">
        <v>727</v>
      </c>
      <c r="B64" s="100" t="s">
        <v>740</v>
      </c>
      <c r="C64" s="101" t="s">
        <v>741</v>
      </c>
      <c r="D64" s="99" t="s">
        <v>742</v>
      </c>
      <c r="E64" s="99" t="s">
        <v>743</v>
      </c>
      <c r="F64" s="100" t="s">
        <v>119</v>
      </c>
      <c r="G64" s="100" t="s">
        <v>19</v>
      </c>
      <c r="H64" s="99" t="s"/>
      <c r="I64" s="99" t="s">
        <v>187</v>
      </c>
      <c r="J64" s="97" t="s"/>
      <c r="K64" s="97" t="s"/>
      <c r="L64" s="97" t="s"/>
      <c r="M64" s="97" t="s"/>
      <c r="N64" s="97" t="s"/>
      <c r="O64" s="97" t="s"/>
      <c r="P64" s="97" t="s"/>
      <c r="Q64" s="97" t="s"/>
      <c r="R64" s="97" t="s"/>
      <c r="S64" s="97" t="s"/>
      <c r="T64" s="97" t="s"/>
      <c r="U64" s="97" t="s"/>
      <c r="V64" s="97" t="s"/>
      <c r="W64" s="97" t="s"/>
      <c r="X64" s="97" t="s"/>
      <c r="Y64" s="97" t="s"/>
      <c r="Z64" s="97" t="s"/>
      <c r="AA64" s="97" t="s"/>
    </row>
    <row r="65" spans="1:27" s="474" customFormat="true">
      <c r="A65" s="99" t="s">
        <v>727</v>
      </c>
      <c r="B65" s="100" t="s">
        <v>744</v>
      </c>
      <c r="C65" s="101" t="s">
        <v>745</v>
      </c>
      <c r="D65" s="99" t="s">
        <v>746</v>
      </c>
      <c r="E65" s="99" t="s">
        <v>747</v>
      </c>
      <c r="F65" s="100" t="s">
        <v>24</v>
      </c>
      <c r="G65" s="100" t="s">
        <v>19</v>
      </c>
      <c r="H65" s="99" t="s"/>
      <c r="I65" s="99" t="s">
        <v>187</v>
      </c>
      <c r="J65" s="97" t="s"/>
      <c r="K65" s="97" t="s"/>
      <c r="L65" s="97" t="s"/>
      <c r="M65" s="97" t="s"/>
      <c r="N65" s="97" t="s"/>
      <c r="O65" s="97" t="s"/>
      <c r="P65" s="97" t="s"/>
      <c r="Q65" s="97" t="s"/>
      <c r="R65" s="97" t="s"/>
      <c r="S65" s="97" t="s"/>
      <c r="T65" s="97" t="s"/>
      <c r="U65" s="97" t="s"/>
      <c r="V65" s="97" t="s"/>
      <c r="W65" s="97" t="s"/>
      <c r="X65" s="97" t="s"/>
      <c r="Y65" s="97" t="s"/>
      <c r="Z65" s="97" t="s"/>
      <c r="AA65" s="97" t="s"/>
    </row>
    <row r="66" spans="1:27" s="466" customFormat="true">
      <c r="A66" s="48" t="s">
        <v>599</v>
      </c>
      <c r="B66" s="47" t="s">
        <v>748</v>
      </c>
      <c r="C66" s="47" t="s">
        <v>749</v>
      </c>
      <c r="D66" s="48" t="s">
        <v>750</v>
      </c>
      <c r="E66" s="48" t="s">
        <v>751</v>
      </c>
      <c r="F66" s="47" t="s">
        <v>12</v>
      </c>
      <c r="G66" s="47" t="s">
        <v>19</v>
      </c>
      <c r="H66" s="48" t="s"/>
      <c r="I66" s="48" t="s">
        <v>187</v>
      </c>
      <c r="J66" s="31" t="s"/>
      <c r="K66" s="31" t="s"/>
      <c r="L66" s="31" t="s"/>
      <c r="M66" s="31" t="s"/>
      <c r="N66" s="31" t="s"/>
      <c r="O66" s="31" t="s"/>
      <c r="P66" s="31" t="s"/>
      <c r="Q66" s="31" t="s"/>
      <c r="R66" s="31" t="s"/>
      <c r="S66" s="31" t="s"/>
      <c r="T66" s="31" t="s"/>
      <c r="U66" s="31" t="s"/>
      <c r="V66" s="31" t="s"/>
      <c r="W66" s="31" t="s"/>
      <c r="X66" s="31" t="s"/>
      <c r="Y66" s="31" t="s"/>
      <c r="Z66" s="31" t="s"/>
      <c r="AA66" s="31" t="s"/>
    </row>
    <row r="67" spans="1:27" s="466" customFormat="true">
      <c r="A67" s="13" t="s"/>
      <c r="B67" s="13" t="s"/>
      <c r="C67" s="13" t="s"/>
      <c r="D67" s="102" t="s">
        <v>752</v>
      </c>
      <c r="E67" s="14" t="s">
        <v>753</v>
      </c>
      <c r="F67" s="47" t="s">
        <v>24</v>
      </c>
      <c r="G67" s="47" t="s">
        <v>19</v>
      </c>
      <c r="H67" s="13" t="s"/>
      <c r="I67" s="48" t="s">
        <v>190</v>
      </c>
      <c r="J67" s="13" t="s"/>
      <c r="K67" s="13" t="s">
        <v>754</v>
      </c>
      <c r="L67" s="13" t="s">
        <v>755</v>
      </c>
      <c r="M67" s="13" t="s"/>
      <c r="N67" s="13" t="s"/>
      <c r="O67" s="13" t="s"/>
      <c r="P67" s="13" t="s"/>
      <c r="Q67" s="13" t="s"/>
      <c r="R67" s="13" t="s"/>
      <c r="S67" s="13" t="s"/>
      <c r="T67" s="13" t="s"/>
      <c r="U67" s="13" t="s"/>
      <c r="V67" s="13" t="s"/>
      <c r="W67" s="13" t="s"/>
      <c r="X67" s="13" t="s"/>
      <c r="Y67" s="13" t="s"/>
      <c r="Z67" s="13" t="s"/>
      <c r="AA67" s="13" t="s"/>
    </row>
    <row r="68" spans="1:27" s="466" customFormat="true">
      <c r="A68" s="13" t="s"/>
      <c r="B68" s="13" t="s"/>
      <c r="C68" s="13" t="s"/>
      <c r="D68" s="102" t="s">
        <v>756</v>
      </c>
      <c r="E68" s="13" t="s">
        <v>757</v>
      </c>
      <c r="F68" s="47" t="s">
        <v>24</v>
      </c>
      <c r="G68" s="47" t="s">
        <v>19</v>
      </c>
      <c r="H68" s="13" t="s"/>
      <c r="I68" s="48" t="s">
        <v>190</v>
      </c>
      <c r="J68" s="13" t="s"/>
      <c r="K68" s="14" t="s">
        <v>754</v>
      </c>
      <c r="L68" s="13" t="s">
        <v>755</v>
      </c>
      <c r="M68" s="13" t="s"/>
      <c r="N68" s="13" t="s"/>
      <c r="O68" s="13" t="s"/>
      <c r="P68" s="13" t="s"/>
      <c r="Q68" s="13" t="s"/>
      <c r="R68" s="13" t="s"/>
      <c r="S68" s="13" t="s"/>
      <c r="T68" s="13" t="s"/>
      <c r="U68" s="13" t="s"/>
      <c r="V68" s="13" t="s"/>
      <c r="W68" s="13" t="s"/>
      <c r="X68" s="13" t="s"/>
      <c r="Y68" s="13" t="s"/>
      <c r="Z68" s="13" t="s"/>
      <c r="AA68" s="13" t="s"/>
    </row>
  </sheetData>
</worksheet>
</file>

<file path=xl/worksheets/sheet22.xml><?xml version="1.0" encoding="utf-8"?>
<worksheet xmlns="http://schemas.openxmlformats.org/spreadsheetml/2006/main">
  <sheetPr codeName="metro config detail">
    <tabColor rgb="FF92D050"/>
  </sheetPr>
  <dimension ref="L37"/>
  <sheetViews>
    <sheetView showGridLines="true" workbookViewId="0"/>
  </sheetViews>
  <sheetFormatPr baseColWidth="13" defaultRowHeight="18" customHeight="true"/>
  <cols>
    <col min="1" max="1" width="40.0625" customWidth="true"/>
    <col min="2" max="2" width="24.2812" customWidth="true"/>
    <col min="3" max="3" width="27.6523" customWidth="true"/>
    <col min="4" max="5" width="19.5508" customWidth="true"/>
    <col min="6" max="6" width="23.0625" customWidth="true"/>
    <col min="7" max="7" width="18.2109" customWidth="true"/>
    <col min="8" max="8" width="13.082" customWidth="true"/>
    <col min="9" max="9" width="41.0039" customWidth="true"/>
  </cols>
  <sheetData>
    <row r="1" spans="1:9">
      <c r="A1" s="103" t="s">
        <v>1</v>
      </c>
      <c r="B1" s="103" t="s">
        <v>2</v>
      </c>
      <c r="C1" s="103" t="s">
        <v>202</v>
      </c>
      <c r="D1" s="103" t="s">
        <v>4</v>
      </c>
      <c r="E1" s="103" t="s">
        <v>5</v>
      </c>
      <c r="F1" s="103" t="s">
        <v>6</v>
      </c>
      <c r="G1" s="103" t="s">
        <v>7</v>
      </c>
      <c r="H1" s="103" t="s">
        <v>9</v>
      </c>
      <c r="I1" s="7" t="s">
        <v>8</v>
      </c>
    </row>
    <row r="2" spans="1:9">
      <c r="A2" s="49" t="s"/>
      <c r="B2" s="44" t="s"/>
      <c r="C2" s="47" t="s"/>
      <c r="D2" s="47" t="s">
        <v>10</v>
      </c>
      <c r="E2" s="47" t="s">
        <v>11</v>
      </c>
      <c r="F2" s="63" t="s">
        <v>12</v>
      </c>
      <c r="G2" s="64" t="s">
        <v>13</v>
      </c>
      <c r="H2" s="46" t="s"/>
      <c r="I2" s="46" t="s">
        <v>758</v>
      </c>
    </row>
    <row r="3" spans="1:9">
      <c r="A3" s="49" t="s"/>
      <c r="B3" s="44" t="s"/>
      <c r="C3" s="47" t="s"/>
      <c r="D3" s="47" t="s">
        <v>15</v>
      </c>
      <c r="E3" s="47" t="s">
        <v>16</v>
      </c>
      <c r="F3" s="63" t="s">
        <v>12</v>
      </c>
      <c r="G3" s="64" t="s">
        <v>13</v>
      </c>
      <c r="H3" s="46" t="s"/>
      <c r="I3" s="46" t="s">
        <v>758</v>
      </c>
    </row>
    <row r="4" spans="1:9">
      <c r="A4" s="49" t="s">
        <v>759</v>
      </c>
      <c r="B4" s="44" t="s"/>
      <c r="C4" s="47" t="s"/>
      <c r="D4" s="47" t="s"/>
      <c r="E4" s="47" t="s"/>
      <c r="F4" s="47" t="s"/>
      <c r="G4" s="47" t="s"/>
      <c r="H4" s="46" t="s"/>
      <c r="I4" s="46" t="s"/>
    </row>
    <row r="5" spans="1:10">
      <c r="A5" s="104" t="s">
        <v>727</v>
      </c>
      <c r="B5" s="105" t="s">
        <v>379</v>
      </c>
      <c r="C5" s="85" t="s">
        <v>215</v>
      </c>
      <c r="D5" s="85" t="s">
        <v>10</v>
      </c>
      <c r="E5" s="85" t="s">
        <v>11</v>
      </c>
      <c r="F5" s="85" t="s">
        <v>12</v>
      </c>
      <c r="G5" s="85" t="s">
        <v>19</v>
      </c>
      <c r="H5" s="106" t="s"/>
      <c r="I5" s="106" t="s">
        <v>190</v>
      </c>
      <c r="J5" t="s">
        <f>=_xlfn.CONCAT(B5," AS `",E5,"#v1`,")</f>
        <v>380</v>
      </c>
    </row>
    <row r="6" spans="1:10">
      <c r="A6" s="46" t="s"/>
      <c r="B6" s="44" t="s"/>
      <c r="C6" s="44" t="s"/>
      <c r="D6" s="65" t="s">
        <v>22</v>
      </c>
      <c r="E6" s="65" t="s">
        <v>23</v>
      </c>
      <c r="F6" s="65" t="s">
        <v>24</v>
      </c>
      <c r="G6" s="47" t="s">
        <v>19</v>
      </c>
      <c r="H6" s="46" t="s"/>
      <c r="I6" s="46" t="s">
        <v>190</v>
      </c>
      <c r="J6" t="s">
        <f>=_xlfn.CONCAT(B6," AS `",E6,"#v1`,")</f>
        <v>326</v>
      </c>
    </row>
    <row r="7" spans="1:10">
      <c r="A7" s="49" t="s">
        <v>727</v>
      </c>
      <c r="B7" s="44" t="s">
        <v>624</v>
      </c>
      <c r="C7" s="44" t="s">
        <v>625</v>
      </c>
      <c r="D7" s="107" t="s">
        <v>626</v>
      </c>
      <c r="E7" s="107" t="s">
        <v>626</v>
      </c>
      <c r="F7" s="44" t="s">
        <v>12</v>
      </c>
      <c r="G7" s="47" t="s">
        <v>19</v>
      </c>
      <c r="H7" s="46" t="s"/>
      <c r="I7" s="46" t="s">
        <v>190</v>
      </c>
      <c r="J7" t="s">
        <f>=_xlfn.CONCAT(B7," AS `",E7,"#v1`,")</f>
        <v>627</v>
      </c>
    </row>
    <row r="8" spans="1:10">
      <c r="A8" s="49" t="s">
        <v>727</v>
      </c>
      <c r="B8" s="44" t="s">
        <v>26</v>
      </c>
      <c r="C8" s="44" t="s">
        <v>385</v>
      </c>
      <c r="D8" s="46" t="s">
        <v>28</v>
      </c>
      <c r="E8" s="46" t="s">
        <v>29</v>
      </c>
      <c r="F8" s="44" t="s">
        <v>12</v>
      </c>
      <c r="G8" s="47" t="s">
        <v>19</v>
      </c>
      <c r="H8" s="46" t="s"/>
      <c r="I8" s="46" t="s">
        <v>190</v>
      </c>
      <c r="J8" t="s">
        <f>=_xlfn.CONCAT(B8," AS `",E8,"#v1`,")</f>
        <v>30</v>
      </c>
    </row>
    <row r="9" spans="1:10">
      <c r="A9" s="49" t="s">
        <v>727</v>
      </c>
      <c r="B9" s="44" t="s">
        <v>31</v>
      </c>
      <c r="C9" s="45" t="s"/>
      <c r="D9" s="46" t="s">
        <v>33</v>
      </c>
      <c r="E9" s="46" t="s">
        <v>34</v>
      </c>
      <c r="F9" s="44" t="s">
        <v>12</v>
      </c>
      <c r="G9" s="47" t="s">
        <v>19</v>
      </c>
      <c r="H9" s="46" t="s"/>
      <c r="I9" s="46" t="s">
        <v>190</v>
      </c>
      <c r="J9" t="s">
        <f>=_xlfn.CONCAT(B9," AS `",E9,"#v1`,")</f>
        <v>601</v>
      </c>
    </row>
    <row r="10" spans="1:10">
      <c r="A10" s="49" t="s">
        <v>727</v>
      </c>
      <c r="B10" s="44" t="s">
        <v>36</v>
      </c>
      <c r="C10" s="44" t="s">
        <v>36</v>
      </c>
      <c r="D10" s="46" t="s">
        <v>38</v>
      </c>
      <c r="E10" s="46" t="s">
        <v>39</v>
      </c>
      <c r="F10" s="44" t="s">
        <v>12</v>
      </c>
      <c r="G10" s="47" t="s">
        <v>19</v>
      </c>
      <c r="H10" s="46" t="s"/>
      <c r="I10" s="46" t="s">
        <v>190</v>
      </c>
      <c r="J10" t="s">
        <f>=_xlfn.CONCAT(B10," AS `",E10,"#v1`,")</f>
        <v>40</v>
      </c>
    </row>
    <row r="11" spans="1:10">
      <c r="A11" s="49" t="s">
        <v>727</v>
      </c>
      <c r="B11" s="44" t="s">
        <v>41</v>
      </c>
      <c r="C11" s="44" t="s">
        <v>41</v>
      </c>
      <c r="D11" s="46" t="s">
        <v>43</v>
      </c>
      <c r="E11" s="46" t="s">
        <v>44</v>
      </c>
      <c r="F11" s="44" t="s">
        <v>12</v>
      </c>
      <c r="G11" s="47" t="s">
        <v>19</v>
      </c>
      <c r="H11" s="46" t="s"/>
      <c r="I11" s="46" t="s">
        <v>190</v>
      </c>
      <c r="J11" t="s">
        <f>=_xlfn.CONCAT(B11," AS `",E11,"#v1`,")</f>
        <v>45</v>
      </c>
    </row>
    <row r="12" spans="1:10">
      <c r="A12" s="49" t="s">
        <v>727</v>
      </c>
      <c r="B12" s="44" t="s">
        <v>391</v>
      </c>
      <c r="C12" s="44" t="s">
        <v>392</v>
      </c>
      <c r="D12" s="46" t="s">
        <v>278</v>
      </c>
      <c r="E12" s="46" t="s">
        <v>279</v>
      </c>
      <c r="F12" s="44" t="s">
        <v>12</v>
      </c>
      <c r="G12" s="47" t="s">
        <v>19</v>
      </c>
      <c r="H12" s="46" t="s"/>
      <c r="I12" s="46" t="s">
        <v>190</v>
      </c>
      <c r="J12" t="s">
        <f>=_xlfn.CONCAT(B12," AS `",E12,"#v1`,")</f>
        <v>393</v>
      </c>
    </row>
    <row r="13" spans="1:10">
      <c r="A13" s="49" t="s">
        <v>727</v>
      </c>
      <c r="B13" s="44" t="s">
        <v>463</v>
      </c>
      <c r="C13" s="44" t="s">
        <v>464</v>
      </c>
      <c r="D13" s="56" t="s">
        <v>235</v>
      </c>
      <c r="E13" s="56" t="s">
        <v>236</v>
      </c>
      <c r="F13" s="44" t="s">
        <v>12</v>
      </c>
      <c r="G13" s="47" t="s">
        <v>19</v>
      </c>
      <c r="H13" s="46" t="s"/>
      <c r="I13" s="46" t="s">
        <v>190</v>
      </c>
      <c r="J13" t="s">
        <f>=_xlfn.CONCAT(B13," AS `",E13,"#v1`,")</f>
        <v>465</v>
      </c>
    </row>
    <row r="14" spans="1:10">
      <c r="A14" s="49" t="s">
        <v>727</v>
      </c>
      <c r="B14" s="44" t="s">
        <v>689</v>
      </c>
      <c r="C14" s="44" t="s">
        <v>760</v>
      </c>
      <c r="D14" s="46" t="s">
        <v>691</v>
      </c>
      <c r="E14" s="49" t="s">
        <v>49</v>
      </c>
      <c r="F14" s="44" t="s">
        <v>12</v>
      </c>
      <c r="G14" s="47" t="s">
        <v>19</v>
      </c>
      <c r="H14" s="46" t="s"/>
      <c r="I14" s="46" t="s">
        <v>190</v>
      </c>
      <c r="J14" t="s">
        <f>=_xlfn.CONCAT(B14," AS `",E14,"#v1`,")</f>
        <v>692</v>
      </c>
    </row>
    <row r="15" spans="1:10">
      <c r="A15" s="49" t="s">
        <v>727</v>
      </c>
      <c r="B15" s="44" t="s">
        <v>46</v>
      </c>
      <c r="C15" s="63" t="s">
        <v>761</v>
      </c>
      <c r="D15" s="46" t="s">
        <v>762</v>
      </c>
      <c r="E15" s="46" t="s">
        <v>763</v>
      </c>
      <c r="F15" s="44" t="s">
        <v>12</v>
      </c>
      <c r="G15" s="47" t="s">
        <v>19</v>
      </c>
      <c r="H15" s="46" t="s"/>
      <c r="I15" s="46" t="s">
        <v>190</v>
      </c>
      <c r="J15" t="s">
        <f>=_xlfn.CONCAT(B15," AS `",E15,"#v1`,")</f>
        <v>764</v>
      </c>
    </row>
    <row r="16" spans="1:10">
      <c r="A16" s="49" t="s">
        <v>727</v>
      </c>
      <c r="B16" s="44" t="s">
        <v>610</v>
      </c>
      <c r="C16" s="44" t="s">
        <v>610</v>
      </c>
      <c r="D16" s="46" t="s">
        <v>611</v>
      </c>
      <c r="E16" s="46" t="s">
        <v>612</v>
      </c>
      <c r="F16" s="44" t="s">
        <v>12</v>
      </c>
      <c r="G16" s="47" t="s">
        <v>19</v>
      </c>
      <c r="H16" s="46" t="s"/>
      <c r="I16" s="46" t="s">
        <v>190</v>
      </c>
      <c r="J16" t="s">
        <f>=_xlfn.CONCAT(B16," AS `",E16,"#v1`,")</f>
        <v>613</v>
      </c>
    </row>
    <row r="17" spans="1:10">
      <c r="A17" s="49" t="s">
        <v>727</v>
      </c>
      <c r="B17" s="44" t="s">
        <v>614</v>
      </c>
      <c r="C17" s="44" t="s">
        <v>765</v>
      </c>
      <c r="D17" s="46" t="s">
        <v>616</v>
      </c>
      <c r="E17" s="46" t="s">
        <v>617</v>
      </c>
      <c r="F17" s="44" t="s">
        <v>12</v>
      </c>
      <c r="G17" s="47" t="s">
        <v>19</v>
      </c>
      <c r="H17" s="46" t="s"/>
      <c r="I17" s="46" t="s">
        <v>190</v>
      </c>
      <c r="J17" t="s">
        <f>=_xlfn.CONCAT(B17," AS `",E17,"#v1`,")</f>
        <v>619</v>
      </c>
    </row>
    <row r="18" spans="1:10">
      <c r="A18" s="49" t="s">
        <v>727</v>
      </c>
      <c r="B18" s="44" t="s">
        <v>81</v>
      </c>
      <c r="C18" s="44" t="s">
        <v>635</v>
      </c>
      <c r="D18" s="46" t="s">
        <v>636</v>
      </c>
      <c r="E18" s="46" t="s">
        <v>84</v>
      </c>
      <c r="F18" s="44" t="s">
        <v>85</v>
      </c>
      <c r="G18" s="47" t="s">
        <v>19</v>
      </c>
      <c r="H18" s="46" t="s"/>
      <c r="I18" s="46" t="s">
        <v>190</v>
      </c>
      <c r="J18" t="s">
        <f>=_xlfn.CONCAT(B18," AS `",E18,"#v1`,")</f>
        <v>637</v>
      </c>
    </row>
    <row r="19" spans="1:10">
      <c r="A19" s="49" t="s">
        <v>727</v>
      </c>
      <c r="B19" s="44" t="s">
        <v>76</v>
      </c>
      <c r="C19" s="44" t="s">
        <v>77</v>
      </c>
      <c r="D19" s="46" t="s">
        <v>638</v>
      </c>
      <c r="E19" s="46" t="s">
        <v>79</v>
      </c>
      <c r="F19" s="44" t="s">
        <v>12</v>
      </c>
      <c r="G19" s="47" t="s">
        <v>19</v>
      </c>
      <c r="H19" s="46" t="s"/>
      <c r="I19" s="46" t="s">
        <v>190</v>
      </c>
      <c r="J19" t="s">
        <f>=_xlfn.CONCAT(B19," AS `",E19,"#v1`,")</f>
        <v>639</v>
      </c>
    </row>
    <row r="20" spans="1:10">
      <c r="A20" s="49" t="s">
        <v>727</v>
      </c>
      <c r="B20" s="44" t="s">
        <v>433</v>
      </c>
      <c r="C20" s="44" t="s">
        <v>434</v>
      </c>
      <c r="D20" s="51" t="s">
        <v>434</v>
      </c>
      <c r="E20" s="51" t="s">
        <v>435</v>
      </c>
      <c r="F20" s="44" t="s">
        <v>85</v>
      </c>
      <c r="G20" s="47" t="s">
        <v>19</v>
      </c>
      <c r="H20" s="46" t="s"/>
      <c r="I20" s="46" t="s">
        <v>190</v>
      </c>
      <c r="J20" t="s">
        <f>=_xlfn.CONCAT(B20," AS `",E20,"#v1`,")</f>
        <v>436</v>
      </c>
    </row>
    <row r="21" spans="1:10">
      <c r="A21" s="49" t="s">
        <v>727</v>
      </c>
      <c r="B21" s="44" t="s">
        <v>437</v>
      </c>
      <c r="C21" s="44" t="s">
        <v>438</v>
      </c>
      <c r="D21" s="44" t="s">
        <v>438</v>
      </c>
      <c r="E21" s="46" t="s">
        <v>439</v>
      </c>
      <c r="F21" s="44" t="s">
        <v>99</v>
      </c>
      <c r="G21" s="47" t="s">
        <v>19</v>
      </c>
      <c r="H21" s="46" t="s"/>
      <c r="I21" s="46" t="s">
        <v>190</v>
      </c>
      <c r="J21" t="s">
        <f>=_xlfn.CONCAT(B21," AS `",E21,"#v1`,")</f>
        <v>440</v>
      </c>
    </row>
    <row r="22" spans="1:10">
      <c r="A22" s="49" t="s">
        <v>727</v>
      </c>
      <c r="B22" s="44" t="s">
        <v>728</v>
      </c>
      <c r="C22" s="44" t="s">
        <v>729</v>
      </c>
      <c r="D22" s="56" t="s">
        <v>730</v>
      </c>
      <c r="E22" s="56" t="s">
        <v>731</v>
      </c>
      <c r="F22" s="44" t="s">
        <v>12</v>
      </c>
      <c r="G22" s="47" t="s">
        <v>19</v>
      </c>
      <c r="H22" s="46" t="s"/>
      <c r="I22" s="46" t="s">
        <v>190</v>
      </c>
      <c r="J22" t="s">
        <f>=_xlfn.CONCAT(B22," AS `",E22,"#v1`,")</f>
        <v>766</v>
      </c>
    </row>
    <row r="23" spans="1:10">
      <c r="A23" s="49" t="s">
        <v>727</v>
      </c>
      <c r="B23" s="44" t="s">
        <v>732</v>
      </c>
      <c r="C23" s="44" t="s">
        <v>732</v>
      </c>
      <c r="D23" s="56" t="s">
        <v>733</v>
      </c>
      <c r="E23" s="56" t="s">
        <v>58</v>
      </c>
      <c r="F23" s="44" t="s">
        <v>767</v>
      </c>
      <c r="G23" s="47" t="s">
        <v>19</v>
      </c>
      <c r="H23" s="46" t="s"/>
      <c r="I23" s="46" t="s">
        <v>190</v>
      </c>
      <c r="J23" t="s">
        <f>=_xlfn.CONCAT(B23," AS `",E23,"#v1`,")</f>
        <v>768</v>
      </c>
    </row>
    <row r="24" spans="1:10">
      <c r="A24" s="49" t="s">
        <v>727</v>
      </c>
      <c r="B24" s="44" t="s">
        <v>734</v>
      </c>
      <c r="C24" s="44" t="s">
        <v>769</v>
      </c>
      <c r="D24" s="56" t="s">
        <v>735</v>
      </c>
      <c r="E24" s="56" t="s">
        <v>735</v>
      </c>
      <c r="F24" s="44" t="s">
        <v>12</v>
      </c>
      <c r="G24" s="47" t="s">
        <v>19</v>
      </c>
      <c r="H24" s="46" t="s"/>
      <c r="I24" s="46" t="s">
        <v>190</v>
      </c>
      <c r="J24" t="s">
        <f>=_xlfn.CONCAT(B24," AS `",E24,"#v1`,")</f>
        <v>770</v>
      </c>
    </row>
    <row r="25" spans="1:10">
      <c r="A25" s="49" t="s">
        <v>727</v>
      </c>
      <c r="B25" s="44" t="s">
        <v>450</v>
      </c>
      <c r="C25" s="44" t="s">
        <v>706</v>
      </c>
      <c r="D25" s="56" t="s">
        <v>451</v>
      </c>
      <c r="E25" s="56" t="s">
        <v>452</v>
      </c>
      <c r="F25" s="44" t="s">
        <v>12</v>
      </c>
      <c r="G25" s="47" t="s">
        <v>19</v>
      </c>
      <c r="H25" s="46" t="s"/>
      <c r="I25" s="46" t="s">
        <v>190</v>
      </c>
      <c r="J25" t="s">
        <f>=_xlfn.CONCAT(B25," AS `",E25,"#v1`,")</f>
        <v>453</v>
      </c>
    </row>
    <row r="26" spans="1:10">
      <c r="A26" s="49" t="s">
        <v>727</v>
      </c>
      <c r="B26" s="44" t="s">
        <v>459</v>
      </c>
      <c r="C26" s="44" t="s">
        <v>460</v>
      </c>
      <c r="D26" s="50" t="s">
        <v>460</v>
      </c>
      <c r="E26" s="56" t="s">
        <v>461</v>
      </c>
      <c r="F26" s="44" t="s">
        <v>12</v>
      </c>
      <c r="G26" s="47" t="s">
        <v>19</v>
      </c>
      <c r="H26" s="46" t="s"/>
      <c r="I26" s="46" t="s">
        <v>190</v>
      </c>
      <c r="J26" t="s">
        <f>=_xlfn.CONCAT(B26," AS `",E26,"#v1`,")</f>
        <v>462</v>
      </c>
    </row>
    <row r="27" spans="1:10">
      <c r="A27" s="49" t="s">
        <v>727</v>
      </c>
      <c r="B27" s="44" t="s">
        <v>487</v>
      </c>
      <c r="C27" s="44" t="s">
        <v>707</v>
      </c>
      <c r="D27" s="50" t="s">
        <v>708</v>
      </c>
      <c r="E27" s="56" t="s">
        <v>490</v>
      </c>
      <c r="F27" s="44" t="s">
        <v>119</v>
      </c>
      <c r="G27" s="47" t="s">
        <v>19</v>
      </c>
      <c r="H27" s="46" t="s"/>
      <c r="I27" s="46" t="s">
        <v>190</v>
      </c>
      <c r="J27" t="s">
        <f>=_xlfn.CONCAT(B27," AS `",E27,"#v1`,")</f>
        <v>491</v>
      </c>
    </row>
    <row r="28" spans="1:10">
      <c r="A28" s="49" t="s">
        <v>727</v>
      </c>
      <c r="B28" s="44" t="s">
        <v>492</v>
      </c>
      <c r="C28" s="44" t="s">
        <v>709</v>
      </c>
      <c r="D28" s="50" t="s">
        <v>710</v>
      </c>
      <c r="E28" s="56" t="s">
        <v>495</v>
      </c>
      <c r="F28" s="44" t="s">
        <v>119</v>
      </c>
      <c r="G28" s="47" t="s">
        <v>19</v>
      </c>
      <c r="H28" s="46" t="s"/>
      <c r="I28" s="46" t="s">
        <v>190</v>
      </c>
      <c r="J28" t="s">
        <f>=_xlfn.CONCAT(B28," AS `",E28,"#v1`,")</f>
        <v>496</v>
      </c>
    </row>
    <row r="29" spans="1:10">
      <c r="A29" s="49" t="s">
        <v>727</v>
      </c>
      <c r="B29" s="44" t="s">
        <v>497</v>
      </c>
      <c r="C29" s="44" t="s">
        <v>498</v>
      </c>
      <c r="D29" s="50" t="s">
        <v>498</v>
      </c>
      <c r="E29" s="56" t="s">
        <v>499</v>
      </c>
      <c r="F29" s="44" t="s">
        <v>119</v>
      </c>
      <c r="G29" s="47" t="s">
        <v>19</v>
      </c>
      <c r="H29" s="46" t="s"/>
      <c r="I29" s="46" t="s">
        <v>190</v>
      </c>
      <c r="J29" t="s">
        <f>=_xlfn.CONCAT(B29," AS `",E29,"#v1`,")</f>
        <v>500</v>
      </c>
    </row>
    <row r="30" spans="1:10">
      <c r="A30" s="49" t="s">
        <v>727</v>
      </c>
      <c r="B30" s="44" t="s">
        <v>505</v>
      </c>
      <c r="C30" s="44" t="s">
        <v>506</v>
      </c>
      <c r="D30" s="50" t="s">
        <v>506</v>
      </c>
      <c r="E30" s="56" t="s">
        <v>507</v>
      </c>
      <c r="F30" s="44" t="s">
        <v>119</v>
      </c>
      <c r="G30" s="47" t="s">
        <v>19</v>
      </c>
      <c r="H30" s="46" t="s"/>
      <c r="I30" s="46" t="s">
        <v>190</v>
      </c>
      <c r="J30" t="s">
        <f>=_xlfn.CONCAT(B30," AS `",E30,"#v1`,")</f>
        <v>508</v>
      </c>
    </row>
    <row r="31" spans="1:10">
      <c r="A31" s="49" t="s">
        <v>727</v>
      </c>
      <c r="B31" s="44" t="s">
        <v>501</v>
      </c>
      <c r="C31" s="44" t="s">
        <v>502</v>
      </c>
      <c r="D31" s="50" t="s">
        <v>502</v>
      </c>
      <c r="E31" s="56" t="s">
        <v>503</v>
      </c>
      <c r="F31" s="44" t="s">
        <v>119</v>
      </c>
      <c r="G31" s="47" t="s">
        <v>19</v>
      </c>
      <c r="H31" s="46" t="s"/>
      <c r="I31" s="46" t="s">
        <v>190</v>
      </c>
      <c r="J31" t="s">
        <f>=_xlfn.CONCAT(B31," AS `",E31,"#v1`,")</f>
        <v>504</v>
      </c>
    </row>
    <row r="32" spans="1:10">
      <c r="A32" s="49" t="s">
        <v>727</v>
      </c>
      <c r="B32" s="44" t="s">
        <v>736</v>
      </c>
      <c r="C32" s="65" t="s">
        <v>737</v>
      </c>
      <c r="D32" s="107" t="s">
        <v>738</v>
      </c>
      <c r="E32" s="107" t="s">
        <v>739</v>
      </c>
      <c r="F32" s="44" t="s">
        <v>119</v>
      </c>
      <c r="G32" s="47" t="s">
        <v>19</v>
      </c>
      <c r="H32" s="46" t="s"/>
      <c r="J32" t="s">
        <f>=_xlfn.CONCAT(B32," AS `",E32,"#v1`,")</f>
        <v>771</v>
      </c>
    </row>
    <row r="33" spans="1:10">
      <c r="A33" s="49" t="s">
        <v>727</v>
      </c>
      <c r="B33" s="44" t="s">
        <v>740</v>
      </c>
      <c r="C33" s="65" t="s">
        <v>741</v>
      </c>
      <c r="D33" s="107" t="s">
        <v>742</v>
      </c>
      <c r="E33" s="107" t="s">
        <v>743</v>
      </c>
      <c r="F33" s="44" t="s">
        <v>119</v>
      </c>
      <c r="G33" s="47" t="s">
        <v>19</v>
      </c>
      <c r="H33" s="46" t="s"/>
      <c r="I33" s="46" t="s">
        <v>190</v>
      </c>
      <c r="J33" t="s">
        <f>=_xlfn.CONCAT(B33," AS `",E33,"#v1`,")</f>
        <v>772</v>
      </c>
    </row>
    <row r="34" spans="1:10">
      <c r="A34" s="49" t="s">
        <v>727</v>
      </c>
      <c r="B34" s="44" t="s">
        <v>744</v>
      </c>
      <c r="C34" s="65" t="s">
        <v>745</v>
      </c>
      <c r="D34" s="107" t="s">
        <v>746</v>
      </c>
      <c r="E34" s="107" t="s">
        <v>747</v>
      </c>
      <c r="F34" s="44" t="s">
        <v>24</v>
      </c>
      <c r="G34" s="47" t="s">
        <v>19</v>
      </c>
      <c r="H34" s="46" t="s"/>
      <c r="I34" s="46" t="s">
        <v>190</v>
      </c>
      <c r="J34" t="s">
        <f>=_xlfn.CONCAT(B34," AS `",E34,"#v1`,")</f>
        <v>773</v>
      </c>
    </row>
    <row r="35" spans="1:10">
      <c r="A35" s="49" t="s">
        <v>727</v>
      </c>
      <c r="B35" s="44" t="s">
        <v>509</v>
      </c>
      <c r="C35" s="44" t="s">
        <v>117</v>
      </c>
      <c r="D35" s="46" t="s">
        <v>117</v>
      </c>
      <c r="E35" s="51" t="s">
        <v>118</v>
      </c>
      <c r="F35" s="44" t="s">
        <v>119</v>
      </c>
      <c r="G35" s="47" t="s">
        <v>19</v>
      </c>
      <c r="H35" s="46" t="s"/>
      <c r="I35" s="46" t="s">
        <v>190</v>
      </c>
      <c r="J35" t="s">
        <f>=_xlfn.CONCAT(B35," AS `",E35,"#v1`,")</f>
        <v>510</v>
      </c>
    </row>
    <row r="36" spans="4:12" s="113" customFormat="true">
      <c r="D36" s="108" t="s">
        <v>752</v>
      </c>
      <c r="E36" s="109" t="s">
        <v>753</v>
      </c>
      <c r="F36" s="110" t="s">
        <v>24</v>
      </c>
      <c r="G36" s="110" t="s">
        <v>19</v>
      </c>
      <c r="I36" s="111" t="s">
        <v>190</v>
      </c>
      <c r="K36" s="112" t="s">
        <v>754</v>
      </c>
      <c r="L36" s="112" t="s">
        <v>755</v>
      </c>
    </row>
    <row r="37" spans="4:12" s="113" customFormat="true">
      <c r="D37" s="108" t="s">
        <v>756</v>
      </c>
      <c r="E37" s="113" t="s">
        <v>757</v>
      </c>
      <c r="F37" s="110" t="s">
        <v>24</v>
      </c>
      <c r="G37" s="110" t="s">
        <v>19</v>
      </c>
      <c r="I37" s="111" t="s">
        <v>190</v>
      </c>
      <c r="K37" s="109" t="s">
        <v>754</v>
      </c>
      <c r="L37" s="112" t="s">
        <v>755</v>
      </c>
    </row>
  </sheetData>
</worksheet>
</file>

<file path=xl/worksheets/sheet23.xml><?xml version="1.0" encoding="utf-8"?>
<worksheet xmlns="http://schemas.openxmlformats.org/spreadsheetml/2006/main">
  <sheetPr codeName="cp detail">
    <tabColor rgb="FF92D050"/>
  </sheetPr>
  <dimension ref="J54"/>
  <sheetViews>
    <sheetView showGridLines="true" workbookViewId="0"/>
  </sheetViews>
  <sheetFormatPr baseColWidth="13" defaultRowHeight="18" customHeight="true"/>
  <cols>
    <col min="1" max="1" width="41.5039" customWidth="true"/>
    <col min="2" max="2" width="26.3008" customWidth="true"/>
    <col min="3" max="3" width="34.1211" customWidth="true"/>
    <col min="4" max="4" width="17.6719" customWidth="true"/>
    <col min="5" max="5" width="25.8906" customWidth="true"/>
    <col min="9" max="9" width="27.7812" customWidth="true"/>
  </cols>
  <sheetData>
    <row r="1" spans="1:9">
      <c r="A1" s="4" t="s">
        <v>1</v>
      </c>
      <c r="B1" s="4" t="s">
        <v>2</v>
      </c>
      <c r="C1" s="4" t="s">
        <v>202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9</v>
      </c>
      <c r="I1" s="4" t="s">
        <v>8</v>
      </c>
    </row>
    <row r="2" spans="1:9">
      <c r="A2" s="87" t="s"/>
      <c r="B2" s="63" t="s"/>
      <c r="C2" s="47" t="s"/>
      <c r="D2" s="47" t="s">
        <v>10</v>
      </c>
      <c r="E2" s="47" t="s">
        <v>11</v>
      </c>
      <c r="F2" s="63" t="s">
        <v>12</v>
      </c>
      <c r="G2" s="358" t="s">
        <v>13</v>
      </c>
      <c r="H2" s="46" t="s"/>
      <c r="I2" s="359" t="s">
        <v>2172</v>
      </c>
    </row>
    <row r="3" spans="1:9">
      <c r="A3" s="87" t="s"/>
      <c r="B3" s="63" t="s"/>
      <c r="C3" s="47" t="s"/>
      <c r="D3" s="203" t="s">
        <v>15</v>
      </c>
      <c r="E3" s="203" t="s">
        <v>16</v>
      </c>
      <c r="F3" s="360" t="s">
        <v>12</v>
      </c>
      <c r="G3" s="358" t="s">
        <v>13</v>
      </c>
      <c r="H3" s="46" t="s"/>
      <c r="I3" s="359" t="s">
        <v>2172</v>
      </c>
    </row>
    <row r="4" spans="1:9">
      <c r="A4" s="87" t="s"/>
      <c r="B4" s="63" t="s"/>
      <c r="C4" s="47" t="s"/>
      <c r="D4" s="47" t="s"/>
      <c r="E4" s="47" t="s"/>
      <c r="F4" s="47" t="s"/>
      <c r="G4" s="47" t="s"/>
      <c r="H4" s="48" t="s"/>
      <c r="I4" s="361" t="s"/>
    </row>
    <row r="5" spans="1:10">
      <c r="A5" s="87" t="s">
        <v>2173</v>
      </c>
      <c r="B5" s="63" t="s">
        <v>379</v>
      </c>
      <c r="C5" s="47" t="s">
        <v>215</v>
      </c>
      <c r="D5" s="47" t="s">
        <v>10</v>
      </c>
      <c r="E5" s="47" t="s">
        <v>11</v>
      </c>
      <c r="F5" s="47" t="s">
        <v>12</v>
      </c>
      <c r="G5" s="47" t="s">
        <v>19</v>
      </c>
      <c r="H5" s="48" t="s"/>
      <c r="I5" s="361" t="s">
        <v>193</v>
      </c>
      <c r="J5" t="s">
        <f>=_xlfn.CONCAT(B5," AS `",E5,"#v1`,")</f>
        <v>380</v>
      </c>
    </row>
    <row r="6" spans="1:10">
      <c r="A6" s="87" t="s"/>
      <c r="B6" s="362" t="s"/>
      <c r="C6" s="47" t="s"/>
      <c r="D6" s="363" t="s">
        <v>22</v>
      </c>
      <c r="E6" s="363" t="s">
        <v>23</v>
      </c>
      <c r="F6" s="363" t="s">
        <v>24</v>
      </c>
      <c r="G6" s="47" t="s">
        <v>19</v>
      </c>
      <c r="H6" s="48" t="s"/>
      <c r="I6" s="361" t="s">
        <v>193</v>
      </c>
      <c r="J6" t="s">
        <f>=_xlfn.CONCAT(B6," AS `",E6,"#v1`,")</f>
        <v>326</v>
      </c>
    </row>
    <row r="7" spans="1:10">
      <c r="A7" s="87" t="s">
        <v>2173</v>
      </c>
      <c r="B7" s="47" t="s">
        <v>381</v>
      </c>
      <c r="C7" s="85" t="s">
        <v>382</v>
      </c>
      <c r="D7" s="364" t="s">
        <v>383</v>
      </c>
      <c r="E7" s="364" t="s">
        <v>383</v>
      </c>
      <c r="F7" s="365" t="s">
        <v>12</v>
      </c>
      <c r="G7" s="47" t="s">
        <v>19</v>
      </c>
      <c r="H7" s="84" t="s"/>
      <c r="I7" s="366" t="s">
        <v>193</v>
      </c>
      <c r="J7" t="s">
        <f>=_xlfn.CONCAT(B7," AS `",E7,"#v1`,")</f>
        <v>384</v>
      </c>
    </row>
    <row r="8" spans="1:10">
      <c r="A8" s="87" t="s">
        <v>2173</v>
      </c>
      <c r="B8" s="47" t="s">
        <v>26</v>
      </c>
      <c r="C8" s="47" t="s">
        <v>385</v>
      </c>
      <c r="D8" s="77" t="s">
        <v>28</v>
      </c>
      <c r="E8" s="77" t="s">
        <v>29</v>
      </c>
      <c r="F8" s="52" t="s">
        <v>12</v>
      </c>
      <c r="G8" s="47" t="s">
        <v>19</v>
      </c>
      <c r="H8" s="48" t="s"/>
      <c r="I8" s="366" t="s">
        <v>193</v>
      </c>
      <c r="J8" t="s">
        <f>=_xlfn.CONCAT(B8," AS `",E8,"#v1`,")</f>
        <v>30</v>
      </c>
    </row>
    <row r="9" spans="1:10">
      <c r="A9" s="87" t="s">
        <v>2173</v>
      </c>
      <c r="B9" s="47" t="s">
        <v>624</v>
      </c>
      <c r="C9" s="47" t="s">
        <v>625</v>
      </c>
      <c r="D9" s="77" t="s">
        <v>2174</v>
      </c>
      <c r="E9" s="77" t="s">
        <v>2174</v>
      </c>
      <c r="F9" s="52" t="s">
        <v>12</v>
      </c>
      <c r="G9" s="47" t="s">
        <v>19</v>
      </c>
      <c r="H9" s="48" t="s"/>
      <c r="I9" s="366" t="s">
        <v>193</v>
      </c>
      <c r="J9" t="s">
        <f>=_xlfn.CONCAT(B9," AS `",E9,"#v1`,")</f>
        <v>2175</v>
      </c>
    </row>
    <row r="10" spans="1:10">
      <c r="A10" s="87" t="s">
        <v>2173</v>
      </c>
      <c r="B10" s="47" t="s">
        <v>387</v>
      </c>
      <c r="C10" s="47" t="s">
        <v>2176</v>
      </c>
      <c r="D10" s="77" t="s">
        <v>389</v>
      </c>
      <c r="E10" s="77" t="s">
        <v>389</v>
      </c>
      <c r="F10" s="52" t="s">
        <v>12</v>
      </c>
      <c r="G10" s="47" t="s">
        <v>19</v>
      </c>
      <c r="H10" s="48" t="s"/>
      <c r="I10" s="366" t="s">
        <v>193</v>
      </c>
      <c r="J10" t="s">
        <f>=_xlfn.CONCAT(B10," AS `",E10,"#v1`,")</f>
        <v>390</v>
      </c>
    </row>
    <row r="11" spans="1:10">
      <c r="A11" s="87" t="s">
        <v>2173</v>
      </c>
      <c r="B11" s="47" t="s">
        <v>36</v>
      </c>
      <c r="C11" s="47" t="s">
        <v>2177</v>
      </c>
      <c r="D11" s="48" t="s">
        <v>38</v>
      </c>
      <c r="E11" s="48" t="s">
        <v>39</v>
      </c>
      <c r="F11" s="47" t="s">
        <v>12</v>
      </c>
      <c r="G11" s="47" t="s">
        <v>19</v>
      </c>
      <c r="H11" s="48" t="s"/>
      <c r="I11" s="366" t="s">
        <v>193</v>
      </c>
      <c r="J11" t="s">
        <f>=_xlfn.CONCAT(B11," AS `",E11,"#v1`,")</f>
        <v>40</v>
      </c>
    </row>
    <row r="12" spans="1:10">
      <c r="A12" s="87" t="s">
        <v>2173</v>
      </c>
      <c r="B12" s="47" t="s">
        <v>391</v>
      </c>
      <c r="C12" s="47" t="s">
        <v>2178</v>
      </c>
      <c r="D12" s="48" t="s">
        <v>278</v>
      </c>
      <c r="E12" s="48" t="s">
        <v>279</v>
      </c>
      <c r="F12" s="47" t="s">
        <v>12</v>
      </c>
      <c r="G12" s="47" t="s">
        <v>19</v>
      </c>
      <c r="H12" s="48" t="s"/>
      <c r="I12" s="366" t="s">
        <v>193</v>
      </c>
      <c r="J12" t="s">
        <f>=_xlfn.CONCAT(B12," AS `",E12,"#v1`,")</f>
        <v>393</v>
      </c>
    </row>
    <row r="13" spans="1:10">
      <c r="A13" s="87" t="s">
        <v>2173</v>
      </c>
      <c r="B13" s="47" t="s">
        <v>1206</v>
      </c>
      <c r="C13" s="47" t="s">
        <v>1207</v>
      </c>
      <c r="D13" s="48" t="s">
        <v>401</v>
      </c>
      <c r="E13" s="48" t="s">
        <v>402</v>
      </c>
      <c r="F13" s="47" t="s">
        <v>12</v>
      </c>
      <c r="G13" s="47" t="s">
        <v>19</v>
      </c>
      <c r="H13" s="48" t="s"/>
      <c r="I13" s="366" t="s">
        <v>193</v>
      </c>
      <c r="J13" t="s">
        <f>=_xlfn.CONCAT(B13," AS `",E13,"#v1`,")</f>
        <v>1208</v>
      </c>
    </row>
    <row r="14" spans="1:10">
      <c r="A14" s="87" t="s">
        <v>2173</v>
      </c>
      <c r="B14" s="47" t="s">
        <v>2179</v>
      </c>
      <c r="C14" s="47" t="s">
        <v>2180</v>
      </c>
      <c r="D14" s="48" t="s">
        <v>2181</v>
      </c>
      <c r="E14" s="48" t="s">
        <v>2182</v>
      </c>
      <c r="F14" s="47" t="s">
        <v>12</v>
      </c>
      <c r="G14" s="47" t="s">
        <v>19</v>
      </c>
      <c r="H14" s="48" t="s"/>
      <c r="I14" s="366" t="s">
        <v>193</v>
      </c>
      <c r="J14" t="s">
        <f>=_xlfn.CONCAT(B14," AS `",E14,"#v1`,")</f>
        <v>2183</v>
      </c>
    </row>
    <row r="15" spans="1:10">
      <c r="A15" s="87" t="s">
        <v>2173</v>
      </c>
      <c r="B15" s="47" t="s">
        <v>2184</v>
      </c>
      <c r="C15" s="322" t="s">
        <v>2185</v>
      </c>
      <c r="D15" s="48" t="s">
        <v>2186</v>
      </c>
      <c r="E15" s="48" t="s">
        <v>2187</v>
      </c>
      <c r="F15" s="47" t="s">
        <v>12</v>
      </c>
      <c r="G15" s="47" t="s">
        <v>19</v>
      </c>
      <c r="H15" s="48" t="s"/>
      <c r="I15" s="366" t="s">
        <v>193</v>
      </c>
      <c r="J15" t="s">
        <f>=_xlfn.CONCAT(B15," AS `",E15,"#v1`,")</f>
        <v>2188</v>
      </c>
    </row>
    <row r="16" spans="1:10">
      <c r="A16" s="87" t="s">
        <v>2173</v>
      </c>
      <c r="B16" s="47" t="s">
        <v>2189</v>
      </c>
      <c r="C16" s="47" t="s">
        <v>2190</v>
      </c>
      <c r="D16" s="48" t="s">
        <v>2191</v>
      </c>
      <c r="E16" s="48" t="s">
        <v>2192</v>
      </c>
      <c r="F16" s="47" t="s">
        <v>12</v>
      </c>
      <c r="G16" s="47" t="s">
        <v>19</v>
      </c>
      <c r="H16" s="48" t="s"/>
      <c r="I16" s="366" t="s">
        <v>193</v>
      </c>
      <c r="J16" t="s">
        <f>=_xlfn.CONCAT(B16," AS `",E16,"#v1`,")</f>
        <v>2193</v>
      </c>
    </row>
    <row r="17" spans="1:10">
      <c r="A17" s="87" t="s">
        <v>2173</v>
      </c>
      <c r="B17" s="47" t="s">
        <v>427</v>
      </c>
      <c r="C17" s="47" t="s">
        <v>2194</v>
      </c>
      <c r="D17" s="48" t="s">
        <v>2195</v>
      </c>
      <c r="E17" s="48" t="s">
        <v>2196</v>
      </c>
      <c r="F17" s="47" t="s">
        <v>12</v>
      </c>
      <c r="G17" s="47" t="s">
        <v>19</v>
      </c>
      <c r="H17" s="48" t="s"/>
      <c r="I17" s="366" t="s">
        <v>193</v>
      </c>
      <c r="J17" t="s">
        <f>=_xlfn.CONCAT(B17," AS `",E17,"#v1`,")</f>
        <v>2197</v>
      </c>
    </row>
    <row r="18" spans="1:10">
      <c r="A18" s="87" t="s">
        <v>2173</v>
      </c>
      <c r="B18" s="47" t="s">
        <v>2198</v>
      </c>
      <c r="C18" s="47" t="s">
        <v>2199</v>
      </c>
      <c r="D18" s="48" t="s">
        <v>2200</v>
      </c>
      <c r="E18" s="48" t="s">
        <v>2201</v>
      </c>
      <c r="F18" s="47" t="s">
        <v>12</v>
      </c>
      <c r="G18" s="47" t="s">
        <v>19</v>
      </c>
      <c r="H18" s="48" t="s"/>
      <c r="I18" s="366" t="s">
        <v>193</v>
      </c>
      <c r="J18" t="s">
        <f>=_xlfn.CONCAT(B18," AS `",E18,"#v1`,")</f>
        <v>2202</v>
      </c>
    </row>
    <row r="19" spans="1:10">
      <c r="A19" s="87" t="s">
        <v>2173</v>
      </c>
      <c r="B19" s="47" t="s">
        <v>2203</v>
      </c>
      <c r="C19" s="47" t="s">
        <v>2204</v>
      </c>
      <c r="D19" s="48" t="s">
        <v>2205</v>
      </c>
      <c r="E19" s="48" t="s">
        <v>2206</v>
      </c>
      <c r="F19" s="47" t="s">
        <v>12</v>
      </c>
      <c r="G19" s="47" t="s">
        <v>19</v>
      </c>
      <c r="H19" s="48" t="s"/>
      <c r="I19" s="366" t="s">
        <v>193</v>
      </c>
      <c r="J19" t="s">
        <f>=_xlfn.CONCAT(B19," AS `",E19,"#v1`,")</f>
        <v>2207</v>
      </c>
    </row>
    <row r="20" spans="1:10">
      <c r="A20" s="87" t="s">
        <v>2173</v>
      </c>
      <c r="B20" s="47" t="s">
        <v>2208</v>
      </c>
      <c r="C20" s="47" t="s">
        <v>2209</v>
      </c>
      <c r="D20" s="48" t="s">
        <v>414</v>
      </c>
      <c r="E20" s="48" t="s">
        <v>415</v>
      </c>
      <c r="F20" s="47" t="s">
        <v>12</v>
      </c>
      <c r="G20" s="47" t="s">
        <v>19</v>
      </c>
      <c r="H20" s="48" t="s"/>
      <c r="I20" s="366" t="s">
        <v>193</v>
      </c>
      <c r="J20" t="s">
        <f>=_xlfn.CONCAT(B20," AS `",E20,"#v1`,")</f>
        <v>2210</v>
      </c>
    </row>
    <row r="21" spans="1:10">
      <c r="A21" s="87" t="s">
        <v>2173</v>
      </c>
      <c r="B21" s="47" t="s">
        <v>2211</v>
      </c>
      <c r="C21" s="47" t="s">
        <v>2212</v>
      </c>
      <c r="D21" s="48" t="s">
        <v>2213</v>
      </c>
      <c r="E21" s="48" t="s">
        <v>2214</v>
      </c>
      <c r="F21" s="47" t="s">
        <v>119</v>
      </c>
      <c r="G21" s="47" t="s">
        <v>19</v>
      </c>
      <c r="H21" s="48" t="s"/>
      <c r="I21" s="366" t="s">
        <v>193</v>
      </c>
      <c r="J21" t="s">
        <f>=_xlfn.CONCAT(B21," AS `",E21,"#v1`,")</f>
        <v>2215</v>
      </c>
    </row>
    <row r="22" spans="1:10">
      <c r="A22" s="87" t="s">
        <v>2173</v>
      </c>
      <c r="B22" s="47" t="s">
        <v>2216</v>
      </c>
      <c r="C22" s="47" t="s">
        <v>2217</v>
      </c>
      <c r="D22" s="48" t="s">
        <v>2217</v>
      </c>
      <c r="E22" s="48" t="s">
        <v>1074</v>
      </c>
      <c r="F22" s="47" t="s">
        <v>12</v>
      </c>
      <c r="G22" s="47" t="s">
        <v>19</v>
      </c>
      <c r="H22" s="48" t="s"/>
      <c r="I22" s="366" t="s">
        <v>193</v>
      </c>
      <c r="J22" t="s">
        <f>=_xlfn.CONCAT(B22," AS `",E22,"#v1`,")</f>
        <v>2218</v>
      </c>
    </row>
    <row r="23" spans="1:10">
      <c r="A23" s="87" t="s">
        <v>2173</v>
      </c>
      <c r="B23" s="47" t="s">
        <v>2219</v>
      </c>
      <c r="C23" s="47" t="s">
        <v>2220</v>
      </c>
      <c r="D23" s="48" t="s">
        <v>2221</v>
      </c>
      <c r="E23" s="48" t="s">
        <v>2221</v>
      </c>
      <c r="F23" s="47" t="s">
        <v>12</v>
      </c>
      <c r="G23" s="47" t="s">
        <v>19</v>
      </c>
      <c r="H23" s="48" t="s"/>
      <c r="I23" s="366" t="s">
        <v>193</v>
      </c>
      <c r="J23" t="s">
        <f>=_xlfn.CONCAT(B23," AS `",E23,"#v1`,")</f>
        <v>2222</v>
      </c>
    </row>
    <row r="24" spans="1:10">
      <c r="A24" s="87" t="s">
        <v>2173</v>
      </c>
      <c r="B24" s="47" t="s">
        <v>2223</v>
      </c>
      <c r="C24" s="47" t="s">
        <v>2224</v>
      </c>
      <c r="D24" s="48" t="s">
        <v>2225</v>
      </c>
      <c r="E24" s="48" t="s">
        <v>2226</v>
      </c>
      <c r="F24" s="47" t="s">
        <v>12</v>
      </c>
      <c r="G24" s="47" t="s">
        <v>19</v>
      </c>
      <c r="H24" s="48" t="s"/>
      <c r="I24" s="366" t="s">
        <v>193</v>
      </c>
      <c r="J24" t="s">
        <f>=_xlfn.CONCAT(B24," AS `",E24,"#v1`,")</f>
        <v>2227</v>
      </c>
    </row>
    <row r="25" spans="1:10">
      <c r="A25" s="87" t="s">
        <v>2173</v>
      </c>
      <c r="B25" s="47" t="s">
        <v>2228</v>
      </c>
      <c r="C25" s="47" t="s">
        <v>2229</v>
      </c>
      <c r="D25" s="48" t="s">
        <v>2230</v>
      </c>
      <c r="E25" s="48" t="s">
        <v>2230</v>
      </c>
      <c r="F25" s="47" t="s">
        <v>12</v>
      </c>
      <c r="G25" s="47" t="s">
        <v>19</v>
      </c>
      <c r="H25" s="48" t="s"/>
      <c r="I25" s="366" t="s">
        <v>193</v>
      </c>
      <c r="J25" t="s">
        <f>=_xlfn.CONCAT(B25," AS `",E25,"#v1`,")</f>
        <v>2231</v>
      </c>
    </row>
    <row r="26" spans="1:10">
      <c r="A26" s="87" t="s">
        <v>2173</v>
      </c>
      <c r="B26" s="47" t="s">
        <v>2232</v>
      </c>
      <c r="C26" s="47" t="s">
        <v>2233</v>
      </c>
      <c r="D26" s="48" t="s">
        <v>2234</v>
      </c>
      <c r="E26" s="48" t="s">
        <v>2234</v>
      </c>
      <c r="F26" s="47" t="s">
        <v>12</v>
      </c>
      <c r="G26" s="47" t="s">
        <v>19</v>
      </c>
      <c r="H26" s="48" t="s"/>
      <c r="I26" s="366" t="s">
        <v>193</v>
      </c>
      <c r="J26" t="s">
        <f>=_xlfn.CONCAT(B26," AS `",E26,"#v1`,")</f>
        <v>2235</v>
      </c>
    </row>
    <row r="27" spans="1:10">
      <c r="A27" s="87" t="s">
        <v>2173</v>
      </c>
      <c r="B27" s="47" t="s">
        <v>422</v>
      </c>
      <c r="C27" s="47" t="s">
        <v>2236</v>
      </c>
      <c r="D27" s="48" t="s">
        <v>2237</v>
      </c>
      <c r="E27" s="48" t="s">
        <v>2238</v>
      </c>
      <c r="F27" s="47" t="s">
        <v>12</v>
      </c>
      <c r="G27" s="47" t="s">
        <v>19</v>
      </c>
      <c r="H27" s="48" t="s"/>
      <c r="I27" s="366" t="s">
        <v>193</v>
      </c>
      <c r="J27" t="s">
        <f>=_xlfn.CONCAT(B27," AS `",E27,"#v1`,")</f>
        <v>2239</v>
      </c>
    </row>
    <row r="28" spans="1:10">
      <c r="A28" s="87" t="s">
        <v>2173</v>
      </c>
      <c r="B28" s="47" t="s">
        <v>2240</v>
      </c>
      <c r="C28" s="47" t="s">
        <v>2241</v>
      </c>
      <c r="D28" s="48" t="s">
        <v>2242</v>
      </c>
      <c r="E28" s="48" t="s">
        <v>2243</v>
      </c>
      <c r="F28" s="47" t="s">
        <v>12</v>
      </c>
      <c r="G28" s="47" t="s">
        <v>19</v>
      </c>
      <c r="H28" s="48" t="s"/>
      <c r="I28" s="366" t="s">
        <v>193</v>
      </c>
      <c r="J28" t="s">
        <f>=_xlfn.CONCAT(B28," AS `",E28,"#v1`,")</f>
        <v>2244</v>
      </c>
    </row>
    <row r="29" spans="1:10">
      <c r="A29" s="87" t="s">
        <v>2173</v>
      </c>
      <c r="B29" s="47" t="s">
        <v>2245</v>
      </c>
      <c r="C29" s="47" t="s">
        <v>2246</v>
      </c>
      <c r="D29" s="48" t="s">
        <v>2247</v>
      </c>
      <c r="E29" s="48" t="s">
        <v>2248</v>
      </c>
      <c r="F29" s="47" t="s">
        <v>119</v>
      </c>
      <c r="G29" s="47" t="s">
        <v>19</v>
      </c>
      <c r="H29" s="48" t="s"/>
      <c r="I29" s="366" t="s">
        <v>193</v>
      </c>
      <c r="J29" t="s">
        <f>=_xlfn.CONCAT(B29," AS `",E29,"#v1`,")</f>
        <v>2249</v>
      </c>
    </row>
    <row r="30" spans="1:10">
      <c r="A30" s="87" t="s">
        <v>2173</v>
      </c>
      <c r="B30" s="47" t="s">
        <v>2250</v>
      </c>
      <c r="C30" s="47" t="s">
        <v>2251</v>
      </c>
      <c r="D30" s="48" t="s">
        <v>2252</v>
      </c>
      <c r="E30" s="48" t="s">
        <v>2253</v>
      </c>
      <c r="F30" s="47" t="s">
        <v>119</v>
      </c>
      <c r="G30" s="47" t="s">
        <v>19</v>
      </c>
      <c r="H30" s="48" t="s"/>
      <c r="I30" s="366" t="s">
        <v>193</v>
      </c>
      <c r="J30" t="s">
        <f>=_xlfn.CONCAT(B30," AS `",E30,"#v1`,")</f>
        <v>2254</v>
      </c>
    </row>
    <row r="31" spans="1:10">
      <c r="A31" s="87" t="s">
        <v>2173</v>
      </c>
      <c r="B31" s="47" t="s">
        <v>487</v>
      </c>
      <c r="C31" s="47" t="s">
        <v>708</v>
      </c>
      <c r="D31" s="48" t="s">
        <v>708</v>
      </c>
      <c r="E31" s="48" t="s">
        <v>490</v>
      </c>
      <c r="F31" s="47" t="s">
        <v>119</v>
      </c>
      <c r="G31" s="47" t="s">
        <v>19</v>
      </c>
      <c r="H31" s="48" t="s"/>
      <c r="I31" s="366" t="s">
        <v>193</v>
      </c>
      <c r="J31" t="s">
        <f>=_xlfn.CONCAT(B31," AS `",E31,"#v1`,")</f>
        <v>491</v>
      </c>
    </row>
    <row r="32" spans="1:10">
      <c r="A32" s="87" t="s">
        <v>2173</v>
      </c>
      <c r="B32" s="47" t="s">
        <v>492</v>
      </c>
      <c r="C32" s="367" t="s">
        <v>710</v>
      </c>
      <c r="D32" s="48" t="s">
        <v>710</v>
      </c>
      <c r="E32" s="48" t="s">
        <v>495</v>
      </c>
      <c r="F32" s="47" t="s">
        <v>119</v>
      </c>
      <c r="G32" s="47" t="s">
        <v>19</v>
      </c>
      <c r="H32" s="48" t="s"/>
      <c r="I32" s="366" t="s">
        <v>193</v>
      </c>
      <c r="J32" t="s">
        <f>=_xlfn.CONCAT(B32," AS `",E32,"#v1`,")</f>
        <v>496</v>
      </c>
    </row>
    <row r="33" spans="1:10">
      <c r="A33" s="87" t="s">
        <v>2173</v>
      </c>
      <c r="B33" s="47" t="s">
        <v>463</v>
      </c>
      <c r="C33" s="367" t="s">
        <v>2255</v>
      </c>
      <c r="D33" s="48" t="s">
        <v>1212</v>
      </c>
      <c r="E33" s="48" t="s">
        <v>236</v>
      </c>
      <c r="F33" s="47" t="s">
        <v>1243</v>
      </c>
      <c r="G33" s="47" t="s">
        <v>19</v>
      </c>
      <c r="H33" s="48" t="s"/>
      <c r="I33" s="366" t="s">
        <v>193</v>
      </c>
      <c r="J33" t="s">
        <f>=_xlfn.CONCAT(B33," AS `",E33,"#v1`,")</f>
        <v>465</v>
      </c>
    </row>
    <row r="34" spans="1:10">
      <c r="A34" s="87" t="s">
        <v>2173</v>
      </c>
      <c r="B34" s="47" t="s">
        <v>466</v>
      </c>
      <c r="C34" s="367" t="s">
        <v>1211</v>
      </c>
      <c r="D34" s="48" t="s">
        <v>468</v>
      </c>
      <c r="E34" s="48" t="s">
        <v>469</v>
      </c>
      <c r="F34" s="47" t="s">
        <v>12</v>
      </c>
      <c r="G34" s="47" t="s">
        <v>19</v>
      </c>
      <c r="H34" s="48" t="s"/>
      <c r="I34" s="366" t="s">
        <v>193</v>
      </c>
      <c r="J34" t="s">
        <f>=_xlfn.CONCAT(B34," AS `",E34,"#v1`,")</f>
        <v>470</v>
      </c>
    </row>
    <row r="35" spans="1:10">
      <c r="A35" s="87" t="s">
        <v>2173</v>
      </c>
      <c r="B35" s="47" t="s">
        <v>2256</v>
      </c>
      <c r="C35" s="367" t="s">
        <v>2257</v>
      </c>
      <c r="D35" s="48" t="s">
        <v>2258</v>
      </c>
      <c r="E35" s="48" t="s">
        <v>2258</v>
      </c>
      <c r="F35" s="47" t="s">
        <v>12</v>
      </c>
      <c r="G35" s="47" t="s">
        <v>19</v>
      </c>
      <c r="H35" s="48" t="s"/>
      <c r="I35" s="366" t="s">
        <v>193</v>
      </c>
      <c r="J35" t="s">
        <f>=_xlfn.CONCAT(B35," AS `",E35,"#v1`,")</f>
        <v>2259</v>
      </c>
    </row>
    <row r="36" spans="1:10">
      <c r="A36" s="87" t="s">
        <v>2173</v>
      </c>
      <c r="B36" s="47" t="s">
        <v>481</v>
      </c>
      <c r="C36" s="367" t="s">
        <v>2260</v>
      </c>
      <c r="D36" s="48" t="s">
        <v>482</v>
      </c>
      <c r="E36" s="48" t="s">
        <v>482</v>
      </c>
      <c r="F36" s="47" t="s">
        <v>24</v>
      </c>
      <c r="G36" s="47" t="s">
        <v>19</v>
      </c>
      <c r="H36" s="48" t="s"/>
      <c r="I36" s="366" t="s">
        <v>193</v>
      </c>
      <c r="J36" t="s">
        <f>=_xlfn.CONCAT(B36," AS `",E36,"#v1`,")</f>
        <v>483</v>
      </c>
    </row>
    <row r="37" spans="1:10">
      <c r="A37" s="87" t="s">
        <v>2173</v>
      </c>
      <c r="B37" s="47" t="s">
        <v>484</v>
      </c>
      <c r="C37" s="367" t="s">
        <v>2261</v>
      </c>
      <c r="D37" s="48" t="s">
        <v>485</v>
      </c>
      <c r="E37" s="48" t="s">
        <v>485</v>
      </c>
      <c r="F37" s="47" t="s">
        <v>24</v>
      </c>
      <c r="G37" s="47" t="s">
        <v>19</v>
      </c>
      <c r="H37" s="48" t="s"/>
      <c r="I37" s="366" t="s">
        <v>193</v>
      </c>
      <c r="J37" t="s">
        <f>=_xlfn.CONCAT(B37," AS `",E37,"#v1`,")</f>
        <v>486</v>
      </c>
    </row>
    <row r="38" spans="1:10">
      <c r="A38" s="87" t="s">
        <v>2173</v>
      </c>
      <c r="B38" s="47" t="s">
        <v>2262</v>
      </c>
      <c r="C38" s="367" t="s">
        <v>2263</v>
      </c>
      <c r="D38" s="48" t="s">
        <v>2264</v>
      </c>
      <c r="E38" s="48" t="s">
        <v>2264</v>
      </c>
      <c r="F38" s="47" t="s">
        <v>12</v>
      </c>
      <c r="G38" s="47" t="s">
        <v>19</v>
      </c>
      <c r="H38" s="48" t="s"/>
      <c r="I38" s="366" t="s">
        <v>193</v>
      </c>
      <c r="J38" t="s">
        <f>=_xlfn.CONCAT(B38," AS `",E38,"#v1`,")</f>
        <v>2265</v>
      </c>
    </row>
    <row r="39" spans="1:10">
      <c r="A39" s="87" t="s">
        <v>2173</v>
      </c>
      <c r="B39" s="47" t="s">
        <v>2266</v>
      </c>
      <c r="C39" s="367" t="s">
        <v>2267</v>
      </c>
      <c r="D39" s="48" t="s">
        <v>2268</v>
      </c>
      <c r="E39" s="48" t="s">
        <v>2268</v>
      </c>
      <c r="F39" s="47" t="s">
        <v>1225</v>
      </c>
      <c r="G39" s="47" t="s">
        <v>19</v>
      </c>
      <c r="H39" s="48" t="s"/>
      <c r="I39" s="366" t="s">
        <v>193</v>
      </c>
      <c r="J39" t="s">
        <f>=_xlfn.CONCAT(B39," AS `",E39,"#v1`,")</f>
        <v>2269</v>
      </c>
    </row>
    <row r="40" spans="1:10">
      <c r="A40" s="87" t="s">
        <v>2173</v>
      </c>
      <c r="B40" s="47" t="s">
        <v>2270</v>
      </c>
      <c r="C40" s="367" t="s">
        <v>2271</v>
      </c>
      <c r="D40" s="48" t="s">
        <v>2272</v>
      </c>
      <c r="E40" s="48" t="s">
        <v>2273</v>
      </c>
      <c r="F40" s="47" t="s">
        <v>258</v>
      </c>
      <c r="G40" s="47" t="s">
        <v>19</v>
      </c>
      <c r="H40" s="48" t="s"/>
      <c r="I40" s="366" t="s">
        <v>193</v>
      </c>
      <c r="J40" t="s">
        <f>=_xlfn.CONCAT(B40," AS `",E40,"#v1`,")</f>
        <v>2274</v>
      </c>
    </row>
    <row r="41" spans="1:10">
      <c r="A41" s="87" t="s">
        <v>2173</v>
      </c>
      <c r="B41" s="47" t="s">
        <v>2275</v>
      </c>
      <c r="C41" s="367" t="s">
        <v>2276</v>
      </c>
      <c r="D41" s="48" t="s">
        <v>2277</v>
      </c>
      <c r="E41" s="48" t="s">
        <v>2278</v>
      </c>
      <c r="F41" s="47" t="s">
        <v>258</v>
      </c>
      <c r="G41" s="47" t="s">
        <v>19</v>
      </c>
      <c r="H41" s="48" t="s"/>
      <c r="I41" s="366" t="s">
        <v>193</v>
      </c>
      <c r="J41" t="s">
        <f>=_xlfn.CONCAT(B41," AS `",E41,"#v1`,")</f>
        <v>2279</v>
      </c>
    </row>
    <row r="42" spans="1:10">
      <c r="A42" s="87" t="s">
        <v>2173</v>
      </c>
      <c r="B42" s="47" t="s">
        <v>2280</v>
      </c>
      <c r="C42" s="367" t="s">
        <v>2281</v>
      </c>
      <c r="D42" s="48" t="s">
        <v>2282</v>
      </c>
      <c r="E42" s="48" t="s">
        <v>2282</v>
      </c>
      <c r="F42" s="47" t="s">
        <v>24</v>
      </c>
      <c r="G42" s="47" t="s">
        <v>19</v>
      </c>
      <c r="H42" s="48" t="s"/>
      <c r="I42" s="366" t="s">
        <v>193</v>
      </c>
      <c r="J42" t="s">
        <f>=_xlfn.CONCAT(B42," AS `",E42,"#v1`,")</f>
        <v>2283</v>
      </c>
    </row>
    <row r="43" spans="1:10">
      <c r="A43" s="87" t="s">
        <v>2173</v>
      </c>
      <c r="B43" s="47" t="s">
        <v>2284</v>
      </c>
      <c r="C43" s="367" t="s">
        <v>2285</v>
      </c>
      <c r="D43" s="48" t="s">
        <v>2286</v>
      </c>
      <c r="E43" s="48" t="s">
        <v>2287</v>
      </c>
      <c r="F43" s="47" t="s">
        <v>12</v>
      </c>
      <c r="G43" s="47" t="s">
        <v>19</v>
      </c>
      <c r="H43" s="48" t="s"/>
      <c r="I43" s="366" t="s">
        <v>193</v>
      </c>
      <c r="J43" t="s">
        <f>=_xlfn.CONCAT(B43," AS `",E43,"#v1`,")</f>
        <v>2288</v>
      </c>
    </row>
    <row r="44" spans="1:10">
      <c r="A44" s="87" t="s">
        <v>2173</v>
      </c>
      <c r="B44" s="47" t="s">
        <v>2289</v>
      </c>
      <c r="C44" s="367" t="s">
        <v>2290</v>
      </c>
      <c r="D44" s="48" t="s">
        <v>2291</v>
      </c>
      <c r="E44" s="48" t="s">
        <v>2292</v>
      </c>
      <c r="F44" s="47" t="s">
        <v>258</v>
      </c>
      <c r="G44" s="47" t="s">
        <v>19</v>
      </c>
      <c r="H44" s="48" t="s"/>
      <c r="I44" s="366" t="s">
        <v>193</v>
      </c>
      <c r="J44" t="s">
        <f>=_xlfn.CONCAT(B44," AS `",E44,"#v1`,")</f>
        <v>2293</v>
      </c>
    </row>
    <row r="45" spans="1:10">
      <c r="A45" s="87" t="s">
        <v>2173</v>
      </c>
      <c r="B45" s="47" t="s">
        <v>2294</v>
      </c>
      <c r="C45" s="367" t="s">
        <v>2295</v>
      </c>
      <c r="D45" s="48" t="s">
        <v>2296</v>
      </c>
      <c r="E45" s="48" t="s">
        <v>2297</v>
      </c>
      <c r="F45" s="47" t="s">
        <v>12</v>
      </c>
      <c r="G45" s="47" t="s">
        <v>19</v>
      </c>
      <c r="H45" s="48" t="s"/>
      <c r="I45" s="366" t="s">
        <v>193</v>
      </c>
      <c r="J45" t="s">
        <f>=_xlfn.CONCAT(B45," AS `",E45,"#v1`,")</f>
        <v>2298</v>
      </c>
    </row>
    <row r="46" spans="1:10">
      <c r="A46" s="87" t="s">
        <v>2173</v>
      </c>
      <c r="B46" s="47" t="s">
        <v>2299</v>
      </c>
      <c r="C46" s="367" t="s">
        <v>2300</v>
      </c>
      <c r="D46" s="48" t="s">
        <v>2301</v>
      </c>
      <c r="E46" s="48" t="s">
        <v>2302</v>
      </c>
      <c r="F46" s="47" t="s">
        <v>258</v>
      </c>
      <c r="G46" s="47" t="s">
        <v>19</v>
      </c>
      <c r="H46" s="48" t="s"/>
      <c r="I46" s="366" t="s">
        <v>193</v>
      </c>
      <c r="J46" t="s">
        <f>=_xlfn.CONCAT(B46," AS `",E46,"#v1`,")</f>
        <v>2303</v>
      </c>
    </row>
    <row r="47" spans="1:10">
      <c r="A47" s="87" t="s">
        <v>2173</v>
      </c>
      <c r="B47" s="47" t="s">
        <v>2304</v>
      </c>
      <c r="C47" s="367" t="s">
        <v>2305</v>
      </c>
      <c r="D47" s="48" t="s">
        <v>2306</v>
      </c>
      <c r="E47" s="48" t="s">
        <v>2307</v>
      </c>
      <c r="F47" s="47" t="s">
        <v>12</v>
      </c>
      <c r="G47" s="47" t="s">
        <v>19</v>
      </c>
      <c r="H47" s="48" t="s"/>
      <c r="I47" s="366" t="s">
        <v>193</v>
      </c>
      <c r="J47" t="s">
        <f>=_xlfn.CONCAT(B47," AS `",E47,"#v1`,")</f>
        <v>2308</v>
      </c>
    </row>
    <row r="48" spans="1:10">
      <c r="A48" s="87" t="s">
        <v>2173</v>
      </c>
      <c r="B48" s="47" t="s">
        <v>2309</v>
      </c>
      <c r="C48" s="47" t="s">
        <v>2310</v>
      </c>
      <c r="D48" s="48" t="s">
        <v>2311</v>
      </c>
      <c r="E48" s="48" t="s">
        <v>2312</v>
      </c>
      <c r="F48" s="47" t="s">
        <v>2313</v>
      </c>
      <c r="G48" s="47" t="s">
        <v>19</v>
      </c>
      <c r="H48" s="48" t="s"/>
      <c r="I48" s="366" t="s">
        <v>193</v>
      </c>
      <c r="J48" t="s">
        <f>=_xlfn.CONCAT(B48," AS `",E48,"#v1`,")</f>
        <v>2314</v>
      </c>
    </row>
    <row r="49" spans="1:10">
      <c r="A49" s="87" t="s">
        <v>2173</v>
      </c>
      <c r="B49" s="47" t="s">
        <v>2315</v>
      </c>
      <c r="C49" s="47" t="s">
        <v>2316</v>
      </c>
      <c r="D49" s="48" t="s">
        <v>2317</v>
      </c>
      <c r="E49" s="48" t="s">
        <v>2318</v>
      </c>
      <c r="F49" s="47" t="s">
        <v>24</v>
      </c>
      <c r="G49" s="47" t="s">
        <v>19</v>
      </c>
      <c r="H49" s="48" t="s"/>
      <c r="I49" s="366" t="s">
        <v>193</v>
      </c>
      <c r="J49" t="s">
        <f>=_xlfn.CONCAT(B49," AS `",E49,"#v1`,")</f>
        <v>2319</v>
      </c>
    </row>
    <row r="50" spans="1:10">
      <c r="A50" s="87" t="s">
        <v>2173</v>
      </c>
      <c r="B50" s="47" t="s">
        <v>2320</v>
      </c>
      <c r="C50" s="47" t="s">
        <v>2321</v>
      </c>
      <c r="D50" s="48" t="s">
        <v>2322</v>
      </c>
      <c r="E50" s="48" t="s">
        <v>2323</v>
      </c>
      <c r="F50" s="47" t="s">
        <v>258</v>
      </c>
      <c r="G50" s="47" t="s">
        <v>19</v>
      </c>
      <c r="H50" s="48" t="s"/>
      <c r="I50" s="366" t="s">
        <v>193</v>
      </c>
      <c r="J50" t="s">
        <f>=_xlfn.CONCAT(B50," AS `",E50,"#v1`,")</f>
        <v>2324</v>
      </c>
    </row>
    <row r="51" spans="1:10">
      <c r="A51" s="87" t="s">
        <v>2173</v>
      </c>
      <c r="B51" s="47" t="s">
        <v>2325</v>
      </c>
      <c r="C51" s="47" t="s">
        <v>2326</v>
      </c>
      <c r="D51" s="48" t="s">
        <v>2326</v>
      </c>
      <c r="E51" s="48" t="s">
        <v>2327</v>
      </c>
      <c r="F51" s="47" t="s">
        <v>119</v>
      </c>
      <c r="G51" s="47" t="s">
        <v>19</v>
      </c>
      <c r="H51" s="48" t="s"/>
      <c r="I51" s="366" t="s">
        <v>193</v>
      </c>
      <c r="J51" t="s">
        <f>=_xlfn.CONCAT(B51," AS `",E51,"#v1`,")</f>
        <v>2328</v>
      </c>
    </row>
    <row r="52" spans="1:10">
      <c r="A52" s="87" t="s">
        <v>2173</v>
      </c>
      <c r="B52" s="47" t="s">
        <v>2329</v>
      </c>
      <c r="C52" s="47" t="s">
        <v>2330</v>
      </c>
      <c r="D52" s="48" t="s">
        <v>2331</v>
      </c>
      <c r="E52" s="48" t="s">
        <v>2332</v>
      </c>
      <c r="F52" s="47" t="s">
        <v>12</v>
      </c>
      <c r="G52" s="47" t="s">
        <v>19</v>
      </c>
      <c r="H52" s="48" t="s"/>
      <c r="I52" s="366" t="s">
        <v>193</v>
      </c>
      <c r="J52" t="s">
        <f>=_xlfn.CONCAT(B52," AS `",E52,"#v1`,")</f>
        <v>2333</v>
      </c>
    </row>
    <row r="53" spans="1:10">
      <c r="A53" s="87" t="s">
        <v>2173</v>
      </c>
      <c r="B53" s="47" t="s">
        <v>2334</v>
      </c>
      <c r="C53" s="47" t="s">
        <v>2335</v>
      </c>
      <c r="D53" s="48" t="s">
        <v>2336</v>
      </c>
      <c r="E53" s="48" t="s">
        <v>2337</v>
      </c>
      <c r="F53" s="47" t="s">
        <v>12</v>
      </c>
      <c r="G53" s="47" t="s">
        <v>19</v>
      </c>
      <c r="H53" s="48" t="s"/>
      <c r="I53" s="366" t="s">
        <v>193</v>
      </c>
      <c r="J53" t="s">
        <f>=_xlfn.CONCAT(B53," AS `",E53,"#v1`,")</f>
        <v>2338</v>
      </c>
    </row>
    <row r="54" spans="1:10">
      <c r="A54" s="87" t="s">
        <v>2173</v>
      </c>
      <c r="B54" s="47" t="s">
        <v>509</v>
      </c>
      <c r="C54" s="47" t="s">
        <v>117</v>
      </c>
      <c r="D54" s="48" t="s">
        <v>117</v>
      </c>
      <c r="E54" s="48" t="s">
        <v>118</v>
      </c>
      <c r="F54" s="47" t="s">
        <v>119</v>
      </c>
      <c r="G54" s="47" t="s">
        <v>19</v>
      </c>
      <c r="H54" s="48" t="s"/>
      <c r="I54" s="366" t="s">
        <v>193</v>
      </c>
      <c r="J54" t="s">
        <f>=_xlfn.CONCAT(B54," AS `",E54,"#v1`,")</f>
        <v>510</v>
      </c>
    </row>
  </sheetData>
</worksheet>
</file>

<file path=xl/worksheets/sheet24.xml><?xml version="1.0" encoding="utf-8"?>
<worksheet xmlns="http://schemas.openxmlformats.org/spreadsheetml/2006/main">
  <sheetPr codeName="defect detail">
    <tabColor rgb="FF92D050"/>
  </sheetPr>
  <dimension ref="H65"/>
  <sheetViews>
    <sheetView showGridLines="true" workbookViewId="0"/>
  </sheetViews>
  <sheetFormatPr baseColWidth="13" defaultRowHeight="18" customHeight="true"/>
  <cols>
    <col min="1" max="1" width="35.4727" customWidth="true"/>
    <col min="2" max="2" width="25.4922" customWidth="true"/>
    <col min="3" max="3" width="32.3711" customWidth="true"/>
    <col min="4" max="4" width="31.5625" customWidth="true"/>
    <col min="5" max="5" width="17.6719" customWidth="true"/>
    <col min="6" max="6" width="18.3438" customWidth="true"/>
    <col min="7" max="7" width="21.9844" customWidth="true"/>
    <col min="8" max="8" width="29.1328" customWidth="true"/>
    <col min="9" max="9" width="16.0508" customWidth="true"/>
    <col min="10" max="10" width="41.2734" customWidth="true"/>
  </cols>
  <sheetData>
    <row r="1" spans="1:9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</row>
    <row r="2" spans="1:9">
      <c r="A2" s="265" t="s"/>
      <c r="B2" s="265" t="s"/>
      <c r="C2" s="265" t="s"/>
      <c r="D2" s="47" t="s">
        <v>10</v>
      </c>
      <c r="E2" s="47" t="s">
        <v>11</v>
      </c>
      <c r="F2" s="44" t="s">
        <v>12</v>
      </c>
      <c r="G2" s="264" t="s">
        <v>13</v>
      </c>
      <c r="H2" s="264" t="s">
        <v>1513</v>
      </c>
      <c r="I2" s="264" t="s"/>
    </row>
    <row r="3" spans="1:9">
      <c r="A3" s="265" t="s"/>
      <c r="B3" s="265" t="s"/>
      <c r="C3" s="265" t="s"/>
      <c r="D3" s="201" t="s">
        <v>15</v>
      </c>
      <c r="E3" s="201" t="s">
        <v>16</v>
      </c>
      <c r="F3" s="265" t="s">
        <v>12</v>
      </c>
      <c r="G3" s="264" t="s">
        <v>13</v>
      </c>
      <c r="H3" s="264" t="s">
        <v>1513</v>
      </c>
      <c r="I3" s="264" t="s"/>
    </row>
    <row r="4" spans="1:9">
      <c r="A4" s="265" t="s"/>
      <c r="B4" s="265" t="s"/>
      <c r="C4" s="265" t="s"/>
      <c r="D4" s="284" t="s"/>
      <c r="E4" s="284" t="s"/>
      <c r="F4" s="265" t="s"/>
      <c r="G4" s="264" t="s"/>
      <c r="H4" s="264" t="s"/>
      <c r="I4" s="264" t="s"/>
    </row>
    <row r="5" spans="1:10">
      <c r="A5" s="47" t="s">
        <v>1514</v>
      </c>
      <c r="B5" s="47" t="s">
        <v>379</v>
      </c>
      <c r="C5" s="47" t="s">
        <v>1515</v>
      </c>
      <c r="D5" s="47" t="s">
        <v>10</v>
      </c>
      <c r="E5" s="47" t="s">
        <v>11</v>
      </c>
      <c r="F5" s="47" t="s">
        <v>12</v>
      </c>
      <c r="G5" s="48" t="s">
        <v>19</v>
      </c>
      <c r="H5" s="48" t="s">
        <v>196</v>
      </c>
      <c r="I5" s="46" t="s"/>
      <c r="J5" t="s">
        <f>=_xlfn.CONCAT(B5," AS `",E5,"#v1`,")</f>
        <v>380</v>
      </c>
    </row>
    <row r="6" spans="1:10">
      <c r="A6" s="47" t="s"/>
      <c r="B6" s="47" t="s"/>
      <c r="C6" s="66" t="s">
        <v>22</v>
      </c>
      <c r="D6" s="66" t="s">
        <v>22</v>
      </c>
      <c r="E6" s="66" t="s">
        <v>23</v>
      </c>
      <c r="F6" s="66" t="s">
        <v>24</v>
      </c>
      <c r="G6" s="48" t="s">
        <v>19</v>
      </c>
      <c r="H6" s="48" t="s">
        <v>196</v>
      </c>
      <c r="I6" s="46" t="s"/>
      <c r="J6" t="s">
        <f>=_xlfn.CONCAT(B6," AS `",E6,"#v1`,")</f>
        <v>326</v>
      </c>
    </row>
    <row r="7" spans="1:10">
      <c r="A7" s="47" t="s">
        <v>1514</v>
      </c>
      <c r="B7" s="47" t="s">
        <v>1516</v>
      </c>
      <c r="C7" s="66" t="s">
        <v>1517</v>
      </c>
      <c r="D7" s="48" t="s">
        <v>1518</v>
      </c>
      <c r="E7" s="48" t="s">
        <v>1519</v>
      </c>
      <c r="F7" s="47" t="s">
        <v>12</v>
      </c>
      <c r="G7" s="48" t="s">
        <v>19</v>
      </c>
      <c r="H7" s="48" t="s">
        <v>196</v>
      </c>
      <c r="I7" s="46" t="s"/>
      <c r="J7" t="s">
        <f>=_xlfn.CONCAT(B7," AS `",E7,"#v1`,")</f>
        <v>1520</v>
      </c>
    </row>
    <row r="8" spans="1:10">
      <c r="A8" s="47" t="s">
        <v>1514</v>
      </c>
      <c r="B8" s="47" t="s">
        <v>1521</v>
      </c>
      <c r="C8" s="47" t="s">
        <v>1522</v>
      </c>
      <c r="D8" s="54" t="s">
        <v>1523</v>
      </c>
      <c r="E8" s="54" t="s">
        <v>1524</v>
      </c>
      <c r="F8" s="47" t="s">
        <v>119</v>
      </c>
      <c r="G8" s="48" t="s">
        <v>19</v>
      </c>
      <c r="H8" s="48" t="s">
        <v>196</v>
      </c>
      <c r="I8" s="46" t="s"/>
      <c r="J8" t="s">
        <f>=_xlfn.CONCAT(B8," AS `",E8,"#v1`,")</f>
        <v>1525</v>
      </c>
    </row>
    <row r="9" spans="1:10" s="287" customFormat="true">
      <c r="A9" s="47" t="s">
        <v>1514</v>
      </c>
      <c r="B9" s="47" t="s">
        <v>1526</v>
      </c>
      <c r="C9" s="47" t="s">
        <v>1527</v>
      </c>
      <c r="D9" s="285" t="s">
        <v>28</v>
      </c>
      <c r="E9" s="54" t="s">
        <v>1528</v>
      </c>
      <c r="F9" s="47" t="s">
        <v>119</v>
      </c>
      <c r="G9" s="48" t="s">
        <v>19</v>
      </c>
      <c r="H9" s="48" t="s">
        <v>196</v>
      </c>
      <c r="I9" s="286" t="s"/>
      <c r="J9" s="287" t="s">
        <f>=_xlfn.CONCAT(B9," AS `",E9,"#v1`,")</f>
        <v>1529</v>
      </c>
    </row>
    <row r="10" spans="1:10">
      <c r="A10" s="47" t="s">
        <v>1514</v>
      </c>
      <c r="B10" s="47" t="s">
        <v>26</v>
      </c>
      <c r="C10" s="47" t="s">
        <v>27</v>
      </c>
      <c r="D10" s="31" t="s"/>
      <c r="E10" s="48" t="s">
        <v>29</v>
      </c>
      <c r="F10" s="47" t="s">
        <v>12</v>
      </c>
      <c r="G10" s="48" t="s">
        <v>19</v>
      </c>
      <c r="H10" s="48" t="s">
        <v>196</v>
      </c>
      <c r="I10" s="46" t="s"/>
      <c r="J10" t="s">
        <f>=_xlfn.CONCAT(B10," AS `",E10,"#v1`,")</f>
        <v>30</v>
      </c>
    </row>
    <row r="11" spans="1:10" s="485" customFormat="true">
      <c r="A11" s="47" t="s">
        <v>1514</v>
      </c>
      <c r="B11" s="47" t="s">
        <v>36</v>
      </c>
      <c r="C11" s="47" t="s">
        <v>1530</v>
      </c>
      <c r="D11" s="48" t="s">
        <v>38</v>
      </c>
      <c r="E11" s="48" t="s">
        <v>39</v>
      </c>
      <c r="F11" s="47" t="s">
        <v>12</v>
      </c>
      <c r="G11" s="48" t="s">
        <v>19</v>
      </c>
      <c r="H11" s="48" t="s">
        <v>196</v>
      </c>
      <c r="I11" s="286" t="s"/>
      <c r="J11" s="287" t="s">
        <f>=_xlfn.CONCAT(B11," AS `",E11,"#v1`,")</f>
        <v>40</v>
      </c>
    </row>
    <row r="12" spans="1:10" s="287" customFormat="true">
      <c r="A12" s="47" t="s">
        <v>1514</v>
      </c>
      <c r="B12" s="47" t="s">
        <v>391</v>
      </c>
      <c r="C12" s="47" t="s">
        <v>1531</v>
      </c>
      <c r="D12" s="48" t="s">
        <v>278</v>
      </c>
      <c r="E12" s="48" t="s">
        <v>279</v>
      </c>
      <c r="F12" s="47" t="s">
        <v>12</v>
      </c>
      <c r="G12" s="48" t="s">
        <v>19</v>
      </c>
      <c r="H12" s="48" t="s">
        <v>196</v>
      </c>
      <c r="I12" s="286" t="s"/>
      <c r="J12" s="287" t="s">
        <f>=_xlfn.CONCAT(B12," AS `",E12,"#v1`,")</f>
        <v>393</v>
      </c>
    </row>
    <row r="13" spans="1:10">
      <c r="A13" s="47" t="s">
        <v>1514</v>
      </c>
      <c r="B13" s="47" t="s">
        <v>1206</v>
      </c>
      <c r="C13" s="47" t="s">
        <v>401</v>
      </c>
      <c r="D13" s="47" t="s">
        <v>314</v>
      </c>
      <c r="E13" s="48" t="s">
        <v>402</v>
      </c>
      <c r="F13" s="47" t="s">
        <v>12</v>
      </c>
      <c r="G13" s="48" t="s">
        <v>19</v>
      </c>
      <c r="H13" s="48" t="s">
        <v>196</v>
      </c>
      <c r="I13" s="46" t="s"/>
      <c r="J13" t="s">
        <f>=_xlfn.CONCAT(B13," AS `",E13,"#v1`,")</f>
        <v>1208</v>
      </c>
    </row>
    <row r="14" spans="1:10">
      <c r="A14" s="47" t="s">
        <v>1514</v>
      </c>
      <c r="B14" s="47" t="s">
        <v>1532</v>
      </c>
      <c r="C14" s="47" t="s">
        <v>1533</v>
      </c>
      <c r="D14" s="31" t="s"/>
      <c r="E14" s="47" t="s">
        <v>315</v>
      </c>
      <c r="F14" s="47" t="s">
        <v>12</v>
      </c>
      <c r="G14" s="48" t="s">
        <v>19</v>
      </c>
      <c r="H14" s="48" t="s">
        <v>196</v>
      </c>
      <c r="I14" s="46" t="s"/>
      <c r="J14" t="s">
        <f>=_xlfn.CONCAT(B14," AS `",E14,"#v1`,")</f>
        <v>1534</v>
      </c>
    </row>
    <row r="15" spans="1:10" s="287" customFormat="true">
      <c r="A15" s="47" t="s">
        <v>1514</v>
      </c>
      <c r="B15" s="47" t="s">
        <v>404</v>
      </c>
      <c r="C15" s="47" t="s">
        <v>1535</v>
      </c>
      <c r="D15" s="47" t="s">
        <v>288</v>
      </c>
      <c r="E15" s="48" t="s">
        <v>289</v>
      </c>
      <c r="F15" s="47" t="s">
        <v>12</v>
      </c>
      <c r="G15" s="48" t="s">
        <v>19</v>
      </c>
      <c r="H15" s="48" t="s">
        <v>196</v>
      </c>
      <c r="I15" s="286" t="s"/>
      <c r="J15" s="287" t="s">
        <f>=_xlfn.CONCAT(B15," AS `",E15,"#v1`,")</f>
        <v>406</v>
      </c>
    </row>
    <row r="16" spans="1:10">
      <c r="A16" s="47" t="s">
        <v>1514</v>
      </c>
      <c r="B16" s="47" t="s">
        <v>1536</v>
      </c>
      <c r="C16" s="47" t="s">
        <v>1537</v>
      </c>
      <c r="D16" s="47" t="s">
        <v>1223</v>
      </c>
      <c r="E16" s="48" t="s">
        <v>1224</v>
      </c>
      <c r="F16" s="47" t="s">
        <v>12</v>
      </c>
      <c r="G16" s="48" t="s">
        <v>19</v>
      </c>
      <c r="H16" s="48" t="s">
        <v>196</v>
      </c>
      <c r="I16" s="46" t="s"/>
      <c r="J16" t="s">
        <f>=_xlfn.CONCAT(B16," AS `",E16,"#v1`,")</f>
        <v>1538</v>
      </c>
    </row>
    <row r="17" spans="1:10" s="287" customFormat="true">
      <c r="A17" s="47" t="s">
        <v>1514</v>
      </c>
      <c r="B17" s="47" t="s">
        <v>417</v>
      </c>
      <c r="C17" s="47" t="s">
        <v>1539</v>
      </c>
      <c r="D17" s="66" t="s">
        <v>419</v>
      </c>
      <c r="E17" s="66" t="s">
        <v>420</v>
      </c>
      <c r="F17" s="47" t="s">
        <v>12</v>
      </c>
      <c r="G17" s="48" t="s">
        <v>19</v>
      </c>
      <c r="H17" s="48" t="s">
        <v>196</v>
      </c>
      <c r="I17" s="286" t="s"/>
      <c r="J17" s="287" t="s">
        <f>=_xlfn.CONCAT(B17," AS `",E17,"#v1`,")</f>
        <v>421</v>
      </c>
    </row>
    <row r="18" spans="1:10">
      <c r="A18" s="47" t="s">
        <v>1514</v>
      </c>
      <c r="B18" s="47" t="s">
        <v>1540</v>
      </c>
      <c r="C18" s="47" t="s">
        <v>1541</v>
      </c>
      <c r="D18" s="48" t="s">
        <v>300</v>
      </c>
      <c r="E18" s="48" t="s">
        <v>301</v>
      </c>
      <c r="F18" s="47" t="s">
        <v>12</v>
      </c>
      <c r="G18" s="48" t="s">
        <v>19</v>
      </c>
      <c r="H18" s="48" t="s">
        <v>196</v>
      </c>
      <c r="I18" s="46" t="s"/>
      <c r="J18" t="s">
        <f>=_xlfn.CONCAT(B18," AS `",E18,"#v1`,")</f>
        <v>1542</v>
      </c>
    </row>
    <row r="19" spans="1:10" s="287" customFormat="true">
      <c r="A19" s="47" t="s">
        <v>1514</v>
      </c>
      <c r="B19" s="47" t="s">
        <v>407</v>
      </c>
      <c r="C19" s="47" t="s">
        <v>1543</v>
      </c>
      <c r="D19" s="48" t="s">
        <v>409</v>
      </c>
      <c r="E19" s="48" t="s">
        <v>410</v>
      </c>
      <c r="F19" s="47" t="s">
        <v>12</v>
      </c>
      <c r="G19" s="48" t="s">
        <v>19</v>
      </c>
      <c r="H19" s="48" t="s">
        <v>196</v>
      </c>
      <c r="I19" s="286" t="s"/>
      <c r="J19" s="287" t="s">
        <f>=_xlfn.CONCAT(B19," AS `",E19,"#v1`,")</f>
        <v>411</v>
      </c>
    </row>
    <row r="20" spans="1:10" s="287" customFormat="true">
      <c r="A20" s="47" t="s">
        <v>1514</v>
      </c>
      <c r="B20" s="47" t="s">
        <v>1544</v>
      </c>
      <c r="C20" s="288" t="s">
        <v>1545</v>
      </c>
      <c r="D20" s="48" t="s">
        <v>284</v>
      </c>
      <c r="E20" s="48" t="s">
        <v>285</v>
      </c>
      <c r="F20" s="47" t="s">
        <v>12</v>
      </c>
      <c r="G20" s="48" t="s">
        <v>19</v>
      </c>
      <c r="H20" s="48" t="s">
        <v>196</v>
      </c>
      <c r="I20" s="286" t="s"/>
      <c r="J20" s="287" t="s">
        <f>=_xlfn.CONCAT(B20," AS `",E20,"#v1`,")</f>
        <v>1546</v>
      </c>
    </row>
    <row r="21" spans="1:10" s="287" customFormat="true">
      <c r="A21" s="47" t="s">
        <v>1514</v>
      </c>
      <c r="B21" s="47" t="s">
        <v>463</v>
      </c>
      <c r="C21" s="47" t="s">
        <v>1547</v>
      </c>
      <c r="D21" s="48" t="s">
        <v>1212</v>
      </c>
      <c r="E21" s="48" t="s">
        <v>236</v>
      </c>
      <c r="F21" s="47" t="s">
        <v>12</v>
      </c>
      <c r="G21" s="48" t="s">
        <v>19</v>
      </c>
      <c r="H21" s="48" t="s">
        <v>196</v>
      </c>
      <c r="I21" s="286" t="s"/>
      <c r="J21" s="287" t="s">
        <f>=_xlfn.CONCAT(B21," AS `",E21,"#v1`,")</f>
        <v>465</v>
      </c>
    </row>
    <row r="22" spans="1:10">
      <c r="A22" s="47" t="s">
        <v>1514</v>
      </c>
      <c r="B22" s="47" t="s">
        <v>1548</v>
      </c>
      <c r="C22" s="47" t="s">
        <v>1549</v>
      </c>
      <c r="D22" s="48" t="s">
        <v>1550</v>
      </c>
      <c r="E22" s="48" t="s">
        <v>1551</v>
      </c>
      <c r="F22" s="47" t="s">
        <v>99</v>
      </c>
      <c r="G22" s="48" t="s">
        <v>19</v>
      </c>
      <c r="H22" s="48" t="s">
        <v>196</v>
      </c>
      <c r="I22" s="46" t="s"/>
      <c r="J22" t="s">
        <f>=_xlfn.CONCAT(B22," AS `",E22,"#v1`,")</f>
        <v>1552</v>
      </c>
    </row>
    <row r="23" spans="1:10" s="290" customFormat="true">
      <c r="A23" s="47" t="s">
        <v>1514</v>
      </c>
      <c r="B23" s="47" t="s">
        <v>1553</v>
      </c>
      <c r="C23" s="47" t="s">
        <v>1554</v>
      </c>
      <c r="D23" s="48" t="s">
        <v>1555</v>
      </c>
      <c r="E23" s="48" t="s">
        <v>1556</v>
      </c>
      <c r="F23" s="47" t="s">
        <v>12</v>
      </c>
      <c r="G23" s="48" t="s">
        <v>19</v>
      </c>
      <c r="H23" s="48" t="s">
        <v>196</v>
      </c>
      <c r="I23" s="289" t="s"/>
      <c r="J23" s="290" t="s">
        <f>=_xlfn.CONCAT(B23," AS `",E23,"#v1`,")</f>
        <v>1557</v>
      </c>
    </row>
    <row r="24" spans="1:10">
      <c r="A24" s="90" t="s">
        <v>1514</v>
      </c>
      <c r="B24" s="90" t="s">
        <v>1558</v>
      </c>
      <c r="C24" s="90" t="s">
        <v>1559</v>
      </c>
      <c r="D24" s="48" t="s">
        <v>443</v>
      </c>
      <c r="E24" s="48" t="s">
        <v>1560</v>
      </c>
      <c r="F24" s="90" t="s">
        <v>12</v>
      </c>
      <c r="G24" s="48" t="s">
        <v>19</v>
      </c>
      <c r="H24" s="48" t="s">
        <v>196</v>
      </c>
      <c r="I24" s="46" t="s"/>
      <c r="J24" t="s">
        <f>=_xlfn.CONCAT(B24," AS `",E24,"#v1`,")</f>
        <v>1561</v>
      </c>
    </row>
    <row r="25" spans="1:10" s="287" customFormat="true">
      <c r="A25" s="47" t="s">
        <v>1514</v>
      </c>
      <c r="B25" s="47" t="s">
        <v>1562</v>
      </c>
      <c r="C25" s="47" t="s">
        <v>1563</v>
      </c>
      <c r="D25" s="48" t="s">
        <v>62</v>
      </c>
      <c r="E25" s="48" t="s">
        <v>63</v>
      </c>
      <c r="F25" s="47" t="s">
        <v>12</v>
      </c>
      <c r="G25" s="48" t="s">
        <v>19</v>
      </c>
      <c r="H25" s="48" t="s">
        <v>196</v>
      </c>
      <c r="I25" s="286" t="s"/>
      <c r="J25" s="287" t="s">
        <f>=_xlfn.CONCAT(B25," AS `",E25,"#v1`,")</f>
        <v>1564</v>
      </c>
    </row>
    <row r="26" spans="1:10" s="287" customFormat="true">
      <c r="A26" s="47" t="s">
        <v>1514</v>
      </c>
      <c r="B26" s="47" t="s">
        <v>66</v>
      </c>
      <c r="C26" s="47" t="s">
        <v>1565</v>
      </c>
      <c r="D26" s="48" t="s">
        <v>68</v>
      </c>
      <c r="E26" s="48" t="s">
        <v>69</v>
      </c>
      <c r="F26" s="47" t="s">
        <v>12</v>
      </c>
      <c r="G26" s="48" t="s">
        <v>19</v>
      </c>
      <c r="H26" s="48" t="s">
        <v>196</v>
      </c>
      <c r="I26" s="286" t="s"/>
      <c r="J26" s="287" t="s">
        <f>=_xlfn.CONCAT(B26," AS `",E26,"#v1`,")</f>
        <v>70</v>
      </c>
    </row>
    <row r="27" spans="1:10" s="287" customFormat="true">
      <c r="A27" s="47" t="s">
        <v>1514</v>
      </c>
      <c r="B27" s="47" t="s">
        <v>71</v>
      </c>
      <c r="C27" s="47" t="s">
        <v>72</v>
      </c>
      <c r="D27" s="48" t="s">
        <v>73</v>
      </c>
      <c r="E27" s="48" t="s">
        <v>74</v>
      </c>
      <c r="F27" s="47" t="s">
        <v>12</v>
      </c>
      <c r="G27" s="48" t="s">
        <v>19</v>
      </c>
      <c r="H27" s="48" t="s">
        <v>196</v>
      </c>
      <c r="I27" s="286" t="s"/>
      <c r="J27" s="287" t="s">
        <f>=_xlfn.CONCAT(B27," AS `",E27,"#v1`,")</f>
        <v>75</v>
      </c>
    </row>
    <row r="28" spans="1:10">
      <c r="A28" s="47" t="s">
        <v>1514</v>
      </c>
      <c r="B28" s="47" t="s">
        <v>1566</v>
      </c>
      <c r="C28" s="47" t="s">
        <v>1567</v>
      </c>
      <c r="D28" s="48" t="s">
        <v>1568</v>
      </c>
      <c r="E28" s="48" t="s">
        <v>1569</v>
      </c>
      <c r="F28" s="47" t="s">
        <v>99</v>
      </c>
      <c r="G28" s="48" t="s">
        <v>19</v>
      </c>
      <c r="H28" s="48" t="s">
        <v>196</v>
      </c>
      <c r="I28" s="46" t="s"/>
      <c r="J28" t="s">
        <f>=_xlfn.CONCAT(B28," AS `",E28,"#v1`,")</f>
        <v>1570</v>
      </c>
    </row>
    <row r="29" spans="1:10">
      <c r="A29" s="47" t="s">
        <v>1514</v>
      </c>
      <c r="B29" s="47" t="s">
        <v>1571</v>
      </c>
      <c r="C29" s="47" t="s">
        <v>1572</v>
      </c>
      <c r="D29" s="48" t="s">
        <v>1573</v>
      </c>
      <c r="E29" s="48" t="s">
        <v>1574</v>
      </c>
      <c r="F29" s="47" t="s">
        <v>99</v>
      </c>
      <c r="G29" s="48" t="s">
        <v>19</v>
      </c>
      <c r="H29" s="48" t="s">
        <v>196</v>
      </c>
      <c r="I29" s="46" t="s"/>
      <c r="J29" t="s">
        <f>=_xlfn.CONCAT(B29," AS `",E29,"#v1`,")</f>
        <v>1575</v>
      </c>
    </row>
    <row r="30" spans="1:10">
      <c r="A30" s="47" t="s">
        <v>1514</v>
      </c>
      <c r="B30" s="47" t="s">
        <v>1576</v>
      </c>
      <c r="C30" s="47" t="s">
        <v>1577</v>
      </c>
      <c r="D30" s="48" t="s">
        <v>1578</v>
      </c>
      <c r="E30" s="48" t="s">
        <v>1579</v>
      </c>
      <c r="F30" s="47" t="s">
        <v>99</v>
      </c>
      <c r="G30" s="48" t="s">
        <v>19</v>
      </c>
      <c r="H30" s="48" t="s">
        <v>196</v>
      </c>
      <c r="I30" s="46" t="s"/>
      <c r="J30" t="s">
        <f>=_xlfn.CONCAT(B30," AS `",E30,"#v1`,")</f>
        <v>1580</v>
      </c>
    </row>
    <row r="31" spans="1:10">
      <c r="A31" s="47" t="s">
        <v>1514</v>
      </c>
      <c r="B31" s="47" t="s">
        <v>1581</v>
      </c>
      <c r="C31" s="47" t="s">
        <v>1582</v>
      </c>
      <c r="D31" s="48" t="s">
        <v>1583</v>
      </c>
      <c r="E31" s="48" t="s">
        <v>1584</v>
      </c>
      <c r="F31" s="47" t="s">
        <v>99</v>
      </c>
      <c r="G31" s="48" t="s">
        <v>19</v>
      </c>
      <c r="H31" s="48" t="s">
        <v>196</v>
      </c>
      <c r="I31" s="46" t="s"/>
      <c r="J31" t="s">
        <f>=_xlfn.CONCAT(B31," AS `",E31,"#v1`,")</f>
        <v>1585</v>
      </c>
    </row>
    <row r="32" spans="1:10">
      <c r="A32" s="47" t="s">
        <v>1514</v>
      </c>
      <c r="B32" s="47" t="s">
        <v>1586</v>
      </c>
      <c r="C32" s="47" t="s">
        <v>1587</v>
      </c>
      <c r="D32" s="48" t="s">
        <v>1588</v>
      </c>
      <c r="E32" s="48" t="s">
        <v>1589</v>
      </c>
      <c r="F32" s="47" t="s">
        <v>12</v>
      </c>
      <c r="G32" s="48" t="s">
        <v>19</v>
      </c>
      <c r="H32" s="48" t="s">
        <v>196</v>
      </c>
      <c r="I32" s="46" t="s"/>
      <c r="J32" t="s">
        <f>=_xlfn.CONCAT(B32," AS `",E32,"#v1`,")</f>
        <v>1590</v>
      </c>
    </row>
    <row r="33" spans="1:10">
      <c r="A33" s="47" t="s">
        <v>1514</v>
      </c>
      <c r="B33" s="47" t="s">
        <v>1591</v>
      </c>
      <c r="C33" s="47" t="s">
        <v>1592</v>
      </c>
      <c r="D33" s="48" t="s">
        <v>1593</v>
      </c>
      <c r="E33" s="48" t="s">
        <v>1594</v>
      </c>
      <c r="F33" s="66" t="s">
        <v>24</v>
      </c>
      <c r="G33" s="48" t="s">
        <v>19</v>
      </c>
      <c r="H33" s="48" t="s">
        <v>196</v>
      </c>
      <c r="I33" s="46" t="s"/>
      <c r="J33" t="s">
        <f>=_xlfn.CONCAT(B33," AS `",E33,"#v1`,")</f>
        <v>1595</v>
      </c>
    </row>
    <row r="34" spans="1:10">
      <c r="A34" s="47" t="s">
        <v>1514</v>
      </c>
      <c r="B34" s="47" t="s">
        <v>1596</v>
      </c>
      <c r="C34" s="47" t="s">
        <v>1597</v>
      </c>
      <c r="D34" s="48" t="s">
        <v>1598</v>
      </c>
      <c r="E34" s="48" t="s">
        <v>1599</v>
      </c>
      <c r="F34" s="47" t="s">
        <v>99</v>
      </c>
      <c r="G34" s="48" t="s">
        <v>19</v>
      </c>
      <c r="H34" s="48" t="s">
        <v>196</v>
      </c>
      <c r="I34" s="46" t="s"/>
      <c r="J34" t="s">
        <f>=_xlfn.CONCAT(B34," AS `",E34,"#v1`,")</f>
        <v>1600</v>
      </c>
    </row>
    <row r="35" spans="1:10">
      <c r="A35" s="47" t="s">
        <v>1514</v>
      </c>
      <c r="B35" s="47" t="s">
        <v>1601</v>
      </c>
      <c r="C35" s="47" t="s">
        <v>1602</v>
      </c>
      <c r="D35" s="48" t="s">
        <v>1603</v>
      </c>
      <c r="E35" s="48" t="s">
        <v>1604</v>
      </c>
      <c r="F35" s="47" t="s">
        <v>99</v>
      </c>
      <c r="G35" s="48" t="s">
        <v>19</v>
      </c>
      <c r="H35" s="48" t="s">
        <v>196</v>
      </c>
      <c r="I35" s="46" t="s"/>
      <c r="J35" t="s">
        <f>=_xlfn.CONCAT(B35," AS `",E35,"#v1`,")</f>
        <v>1605</v>
      </c>
    </row>
    <row r="36" spans="1:10">
      <c r="A36" s="47" t="s">
        <v>1514</v>
      </c>
      <c r="B36" s="47" t="s">
        <v>1606</v>
      </c>
      <c r="C36" s="47" t="s">
        <v>1607</v>
      </c>
      <c r="D36" s="48" t="s">
        <v>1607</v>
      </c>
      <c r="E36" s="48" t="s">
        <v>1608</v>
      </c>
      <c r="F36" s="66" t="s">
        <v>24</v>
      </c>
      <c r="G36" s="48" t="s">
        <v>19</v>
      </c>
      <c r="H36" s="48" t="s">
        <v>196</v>
      </c>
      <c r="I36" s="46" t="s"/>
      <c r="J36" t="s">
        <f>=_xlfn.CONCAT(B36," AS `",E36,"#v1`,")</f>
        <v>1609</v>
      </c>
    </row>
    <row r="37" spans="1:10">
      <c r="A37" s="47" t="s">
        <v>1514</v>
      </c>
      <c r="B37" s="47" t="s">
        <v>1610</v>
      </c>
      <c r="C37" s="47" t="s">
        <v>1611</v>
      </c>
      <c r="D37" s="48" t="s">
        <v>1611</v>
      </c>
      <c r="E37" s="48" t="s">
        <v>1612</v>
      </c>
      <c r="F37" s="66" t="s">
        <v>24</v>
      </c>
      <c r="G37" s="48" t="s">
        <v>19</v>
      </c>
      <c r="H37" s="48" t="s">
        <v>196</v>
      </c>
      <c r="I37" s="46" t="s"/>
      <c r="J37" t="s">
        <f>=_xlfn.CONCAT(B37," AS `",E37,"#v1`,")</f>
        <v>1613</v>
      </c>
    </row>
    <row r="38" spans="1:10">
      <c r="A38" s="47" t="s">
        <v>1514</v>
      </c>
      <c r="B38" s="47" t="s">
        <v>1614</v>
      </c>
      <c r="C38" s="86" t="s"/>
      <c r="D38" s="48" t="s">
        <v>1615</v>
      </c>
      <c r="E38" s="48" t="s">
        <v>1616</v>
      </c>
      <c r="F38" s="47" t="s">
        <v>12</v>
      </c>
      <c r="G38" s="48" t="s">
        <v>19</v>
      </c>
      <c r="H38" s="48" t="s">
        <v>196</v>
      </c>
      <c r="I38" s="46" t="s"/>
      <c r="J38" t="s">
        <f>=_xlfn.CONCAT(B38," AS `",E38,"#v1`,")</f>
        <v>1617</v>
      </c>
    </row>
    <row r="39" spans="1:10">
      <c r="A39" s="47" t="s">
        <v>1514</v>
      </c>
      <c r="B39" s="47" t="s">
        <v>1618</v>
      </c>
      <c r="C39" s="47" t="s">
        <v>1619</v>
      </c>
      <c r="D39" s="48" t="s">
        <v>1620</v>
      </c>
      <c r="E39" s="48" t="s">
        <v>1621</v>
      </c>
      <c r="F39" s="47" t="s">
        <v>12</v>
      </c>
      <c r="G39" s="48" t="s">
        <v>19</v>
      </c>
      <c r="H39" s="48" t="s">
        <v>196</v>
      </c>
      <c r="I39" s="46" t="s"/>
      <c r="J39" t="s">
        <f>=_xlfn.CONCAT(B39," AS `",E39,"#v1`,")</f>
        <v>1622</v>
      </c>
    </row>
    <row r="40" spans="1:10">
      <c r="A40" s="47" t="s">
        <v>1514</v>
      </c>
      <c r="B40" s="47" t="s">
        <v>1623</v>
      </c>
      <c r="C40" s="47" t="s">
        <v>1624</v>
      </c>
      <c r="D40" s="48" t="s">
        <v>1625</v>
      </c>
      <c r="E40" s="48" t="s">
        <v>1626</v>
      </c>
      <c r="F40" s="47" t="s">
        <v>12</v>
      </c>
      <c r="G40" s="48" t="s">
        <v>19</v>
      </c>
      <c r="H40" s="48" t="s">
        <v>196</v>
      </c>
      <c r="I40" s="46" t="s"/>
      <c r="J40" t="s">
        <f>=_xlfn.CONCAT(B40," AS `",E40,"#v1`,")</f>
        <v>1627</v>
      </c>
    </row>
    <row r="41" spans="1:10">
      <c r="A41" s="47" t="s">
        <v>1514</v>
      </c>
      <c r="B41" s="47" t="s">
        <v>1628</v>
      </c>
      <c r="C41" s="86" t="s"/>
      <c r="D41" s="48" t="s">
        <v>1629</v>
      </c>
      <c r="E41" s="48" t="s">
        <v>1630</v>
      </c>
      <c r="F41" s="47" t="s">
        <v>12</v>
      </c>
      <c r="G41" s="48" t="s">
        <v>19</v>
      </c>
      <c r="H41" s="48" t="s">
        <v>196</v>
      </c>
      <c r="I41" s="46" t="s"/>
      <c r="J41" t="s">
        <f>=_xlfn.CONCAT(B41," AS `",E41,"#v1`,")</f>
        <v>1631</v>
      </c>
    </row>
    <row r="42" spans="1:10">
      <c r="A42" s="47" t="s">
        <v>1514</v>
      </c>
      <c r="B42" s="47" t="s">
        <v>1632</v>
      </c>
      <c r="C42" s="86" t="s"/>
      <c r="D42" s="48" t="s">
        <v>1633</v>
      </c>
      <c r="E42" s="48" t="s">
        <v>1634</v>
      </c>
      <c r="F42" s="47" t="s">
        <v>12</v>
      </c>
      <c r="G42" s="48" t="s">
        <v>19</v>
      </c>
      <c r="H42" s="48" t="s">
        <v>196</v>
      </c>
      <c r="I42" s="46" t="s"/>
      <c r="J42" t="s">
        <f>=_xlfn.CONCAT(B42," AS `",E42,"#v1`,")</f>
        <v>1635</v>
      </c>
    </row>
    <row r="43" spans="1:10">
      <c r="A43" s="47" t="s">
        <v>1514</v>
      </c>
      <c r="B43" s="47" t="s">
        <v>1636</v>
      </c>
      <c r="C43" s="86" t="s"/>
      <c r="D43" s="48" t="s">
        <v>1637</v>
      </c>
      <c r="E43" s="48" t="s">
        <v>1638</v>
      </c>
      <c r="F43" s="47" t="s">
        <v>12</v>
      </c>
      <c r="G43" s="48" t="s">
        <v>19</v>
      </c>
      <c r="H43" s="48" t="s">
        <v>196</v>
      </c>
      <c r="I43" s="46" t="s"/>
      <c r="J43" t="s">
        <f>=_xlfn.CONCAT(B43," AS `",E43,"#v1`,")</f>
        <v>1639</v>
      </c>
    </row>
    <row r="44" spans="1:10">
      <c r="A44" s="47" t="s">
        <v>1514</v>
      </c>
      <c r="B44" s="47" t="s">
        <v>1640</v>
      </c>
      <c r="C44" s="86" t="s"/>
      <c r="D44" s="48" t="s">
        <v>1641</v>
      </c>
      <c r="E44" s="48" t="s">
        <v>1642</v>
      </c>
      <c r="F44" s="47" t="s">
        <v>12</v>
      </c>
      <c r="G44" s="48" t="s">
        <v>19</v>
      </c>
      <c r="H44" s="48" t="s">
        <v>196</v>
      </c>
      <c r="I44" s="46" t="s"/>
      <c r="J44" t="s">
        <f>=_xlfn.CONCAT(B44," AS `",E44,"#v1`,")</f>
        <v>1643</v>
      </c>
    </row>
    <row r="45" spans="1:10">
      <c r="A45" s="47" t="s">
        <v>1514</v>
      </c>
      <c r="B45" s="47" t="s">
        <v>1644</v>
      </c>
      <c r="C45" s="86" t="s"/>
      <c r="D45" s="48" t="s">
        <v>1645</v>
      </c>
      <c r="E45" s="48" t="s">
        <v>1646</v>
      </c>
      <c r="F45" s="47" t="s">
        <v>12</v>
      </c>
      <c r="G45" s="48" t="s">
        <v>19</v>
      </c>
      <c r="H45" s="48" t="s">
        <v>196</v>
      </c>
      <c r="I45" s="46" t="s"/>
      <c r="J45" t="s">
        <f>=_xlfn.CONCAT(B45," AS `",E45,"#v1`,")</f>
        <v>1647</v>
      </c>
    </row>
    <row r="46" spans="1:10">
      <c r="A46" s="47" t="s">
        <v>1514</v>
      </c>
      <c r="B46" s="47" t="s">
        <v>1648</v>
      </c>
      <c r="C46" s="86" t="s"/>
      <c r="D46" s="48" t="s">
        <v>1649</v>
      </c>
      <c r="E46" s="48" t="s">
        <v>1650</v>
      </c>
      <c r="F46" s="47" t="s">
        <v>12</v>
      </c>
      <c r="G46" s="48" t="s">
        <v>19</v>
      </c>
      <c r="H46" s="48" t="s">
        <v>196</v>
      </c>
      <c r="I46" s="46" t="s"/>
      <c r="J46" t="s">
        <f>=_xlfn.CONCAT(B46," AS `",E46,"#v1`,")</f>
        <v>1651</v>
      </c>
    </row>
    <row r="47" spans="1:10">
      <c r="A47" s="47" t="s">
        <v>1514</v>
      </c>
      <c r="B47" s="47" t="s">
        <v>1652</v>
      </c>
      <c r="C47" s="86" t="s"/>
      <c r="D47" s="48" t="s">
        <v>1653</v>
      </c>
      <c r="E47" s="48" t="s">
        <v>1654</v>
      </c>
      <c r="F47" s="47" t="s">
        <v>12</v>
      </c>
      <c r="G47" s="48" t="s">
        <v>19</v>
      </c>
      <c r="H47" s="48" t="s">
        <v>196</v>
      </c>
      <c r="I47" s="46" t="s"/>
      <c r="J47" t="s">
        <f>=_xlfn.CONCAT(B47," AS `",E47,"#v1`,")</f>
        <v>1655</v>
      </c>
    </row>
    <row r="48" spans="1:10">
      <c r="A48" s="47" t="s">
        <v>1514</v>
      </c>
      <c r="B48" s="47" t="s">
        <v>1656</v>
      </c>
      <c r="C48" s="86" t="s"/>
      <c r="D48" s="48" t="s">
        <v>1657</v>
      </c>
      <c r="E48" s="48" t="s">
        <v>1658</v>
      </c>
      <c r="F48" s="47" t="s">
        <v>12</v>
      </c>
      <c r="G48" s="48" t="s">
        <v>19</v>
      </c>
      <c r="H48" s="48" t="s">
        <v>196</v>
      </c>
      <c r="I48" s="46" t="s"/>
      <c r="J48" t="s">
        <f>=_xlfn.CONCAT(B48," AS `",E48,"#v1`,")</f>
        <v>1659</v>
      </c>
    </row>
    <row r="49" spans="1:10">
      <c r="A49" s="47" t="s">
        <v>1514</v>
      </c>
      <c r="B49" s="47" t="s">
        <v>1660</v>
      </c>
      <c r="C49" s="86" t="s"/>
      <c r="D49" s="48" t="s">
        <v>1661</v>
      </c>
      <c r="E49" s="48" t="s">
        <v>1662</v>
      </c>
      <c r="F49" s="47" t="s">
        <v>12</v>
      </c>
      <c r="G49" s="48" t="s">
        <v>19</v>
      </c>
      <c r="H49" s="48" t="s">
        <v>196</v>
      </c>
      <c r="I49" s="46" t="s"/>
      <c r="J49" t="s">
        <f>=_xlfn.CONCAT(B49," AS `",E49,"#v1`,")</f>
        <v>1663</v>
      </c>
    </row>
    <row r="50" spans="1:10">
      <c r="A50" s="47" t="s">
        <v>1514</v>
      </c>
      <c r="B50" s="47" t="s">
        <v>1664</v>
      </c>
      <c r="C50" s="86" t="s"/>
      <c r="D50" s="48" t="s">
        <v>1665</v>
      </c>
      <c r="E50" s="48" t="s">
        <v>1666</v>
      </c>
      <c r="F50" s="47" t="s">
        <v>12</v>
      </c>
      <c r="G50" s="48" t="s">
        <v>19</v>
      </c>
      <c r="H50" s="48" t="s">
        <v>196</v>
      </c>
      <c r="I50" s="46" t="s"/>
      <c r="J50" t="s">
        <f>=_xlfn.CONCAT(B50," AS `",E50,"#v1`,")</f>
        <v>1667</v>
      </c>
    </row>
    <row r="51" spans="1:10">
      <c r="A51" s="47" t="s">
        <v>1514</v>
      </c>
      <c r="B51" s="47" t="s">
        <v>1668</v>
      </c>
      <c r="C51" s="86" t="s"/>
      <c r="D51" s="48" t="s">
        <v>1669</v>
      </c>
      <c r="E51" s="48" t="s">
        <v>1670</v>
      </c>
      <c r="F51" s="47" t="s">
        <v>12</v>
      </c>
      <c r="G51" s="48" t="s">
        <v>19</v>
      </c>
      <c r="H51" s="48" t="s">
        <v>196</v>
      </c>
      <c r="I51" s="46" t="s"/>
      <c r="J51" t="s">
        <f>=_xlfn.CONCAT(B51," AS `",E51,"#v1`,")</f>
        <v>1671</v>
      </c>
    </row>
    <row r="52" spans="1:10">
      <c r="A52" s="47" t="s">
        <v>1514</v>
      </c>
      <c r="B52" s="47" t="s">
        <v>1672</v>
      </c>
      <c r="C52" s="86" t="s"/>
      <c r="D52" s="48" t="s">
        <v>1673</v>
      </c>
      <c r="E52" s="48" t="s">
        <v>1674</v>
      </c>
      <c r="F52" s="47" t="s">
        <v>12</v>
      </c>
      <c r="G52" s="48" t="s">
        <v>19</v>
      </c>
      <c r="H52" s="48" t="s">
        <v>196</v>
      </c>
      <c r="I52" s="46" t="s"/>
      <c r="J52" t="s">
        <f>=_xlfn.CONCAT(B52," AS `",E52,"#v1`,")</f>
        <v>1675</v>
      </c>
    </row>
    <row r="53" spans="1:10">
      <c r="A53" s="47" t="s">
        <v>1514</v>
      </c>
      <c r="B53" s="47" t="s">
        <v>1676</v>
      </c>
      <c r="C53" s="86" t="s"/>
      <c r="D53" s="48" t="s">
        <v>1677</v>
      </c>
      <c r="E53" s="48" t="s">
        <v>1678</v>
      </c>
      <c r="F53" s="47" t="s">
        <v>12</v>
      </c>
      <c r="G53" s="48" t="s">
        <v>19</v>
      </c>
      <c r="H53" s="48" t="s">
        <v>196</v>
      </c>
      <c r="I53" s="46" t="s"/>
      <c r="J53" t="s">
        <f>=_xlfn.CONCAT(B53," AS `",E53,"#v1`,")</f>
        <v>1679</v>
      </c>
    </row>
    <row r="54" spans="1:10">
      <c r="A54" s="47" t="s">
        <v>1514</v>
      </c>
      <c r="B54" s="47" t="s">
        <v>1680</v>
      </c>
      <c r="C54" s="86" t="s"/>
      <c r="D54" s="48" t="s">
        <v>1681</v>
      </c>
      <c r="E54" s="48" t="s">
        <v>1682</v>
      </c>
      <c r="F54" s="47" t="s">
        <v>12</v>
      </c>
      <c r="G54" s="48" t="s">
        <v>19</v>
      </c>
      <c r="H54" s="48" t="s">
        <v>196</v>
      </c>
      <c r="I54" s="46" t="s"/>
      <c r="J54" t="s">
        <f>=_xlfn.CONCAT(B54," AS `",E54,"#v1`,")</f>
        <v>1683</v>
      </c>
    </row>
    <row r="55" spans="1:10">
      <c r="A55" s="47" t="s">
        <v>1514</v>
      </c>
      <c r="B55" s="31" t="s"/>
      <c r="C55" s="86" t="s"/>
      <c r="D55" s="48" t="s">
        <v>1684</v>
      </c>
      <c r="E55" s="48" t="s">
        <v>1685</v>
      </c>
      <c r="F55" s="47" t="s">
        <v>12</v>
      </c>
      <c r="G55" s="48" t="s">
        <v>19</v>
      </c>
      <c r="H55" s="48" t="s">
        <v>196</v>
      </c>
      <c r="I55" s="46" t="s"/>
      <c r="J55" t="s">
        <f>=_xlfn.CONCAT(B55," AS `",E55,"#v1`,")</f>
        <v>1686</v>
      </c>
    </row>
    <row r="56" spans="1:10">
      <c r="A56" s="47" t="s">
        <v>1514</v>
      </c>
      <c r="B56" s="47" t="s">
        <v>1687</v>
      </c>
      <c r="C56" s="86" t="s"/>
      <c r="D56" s="48" t="s">
        <v>1688</v>
      </c>
      <c r="E56" s="48" t="s">
        <v>1689</v>
      </c>
      <c r="F56" s="47" t="s">
        <v>12</v>
      </c>
      <c r="G56" s="48" t="s">
        <v>19</v>
      </c>
      <c r="H56" s="48" t="s">
        <v>196</v>
      </c>
      <c r="I56" s="46" t="s"/>
      <c r="J56" t="s">
        <f>=_xlfn.CONCAT(B56," AS `",E56,"#v1`,")</f>
        <v>1690</v>
      </c>
    </row>
    <row r="57" spans="1:10">
      <c r="A57" s="47" t="s">
        <v>1514</v>
      </c>
      <c r="B57" s="47" t="s">
        <v>459</v>
      </c>
      <c r="C57" s="47" t="s">
        <v>1691</v>
      </c>
      <c r="D57" s="52" t="s">
        <v>460</v>
      </c>
      <c r="E57" s="54" t="s">
        <v>461</v>
      </c>
      <c r="F57" s="47" t="s">
        <v>767</v>
      </c>
      <c r="G57" s="48" t="s">
        <v>19</v>
      </c>
      <c r="H57" s="48" t="s">
        <v>196</v>
      </c>
      <c r="I57" s="46" t="s"/>
      <c r="J57" t="s">
        <f>=_xlfn.CONCAT(B57," AS `",E57,"#v1`,")</f>
        <v>462</v>
      </c>
    </row>
    <row r="58" spans="1:10">
      <c r="A58" s="47" t="s">
        <v>1514</v>
      </c>
      <c r="B58" s="47" t="s">
        <v>501</v>
      </c>
      <c r="C58" s="47" t="s">
        <v>502</v>
      </c>
      <c r="D58" s="52" t="s">
        <v>502</v>
      </c>
      <c r="E58" s="54" t="s">
        <v>503</v>
      </c>
      <c r="F58" s="47" t="s">
        <v>119</v>
      </c>
      <c r="G58" s="48" t="s">
        <v>19</v>
      </c>
      <c r="H58" s="48" t="s">
        <v>196</v>
      </c>
      <c r="I58" s="46" t="s"/>
      <c r="J58" t="s">
        <f>=_xlfn.CONCAT(B58," AS `",E58,"#v1`,")</f>
        <v>504</v>
      </c>
    </row>
    <row r="59" spans="1:10">
      <c r="A59" s="47" t="s">
        <v>1514</v>
      </c>
      <c r="B59" s="47" t="s">
        <v>505</v>
      </c>
      <c r="C59" s="47" t="s">
        <v>1692</v>
      </c>
      <c r="D59" s="52" t="s">
        <v>506</v>
      </c>
      <c r="E59" s="54" t="s">
        <v>507</v>
      </c>
      <c r="F59" s="47" t="s">
        <v>119</v>
      </c>
      <c r="G59" s="48" t="s">
        <v>19</v>
      </c>
      <c r="H59" s="48" t="s">
        <v>196</v>
      </c>
      <c r="I59" s="46" t="s"/>
      <c r="J59" t="s">
        <f>=_xlfn.CONCAT(B59," AS `",E59,"#v1`,")</f>
        <v>508</v>
      </c>
    </row>
    <row r="60" spans="1:10">
      <c r="A60" s="47" t="s">
        <v>1514</v>
      </c>
      <c r="B60" s="47" t="s">
        <v>509</v>
      </c>
      <c r="C60" s="47" t="s">
        <v>1693</v>
      </c>
      <c r="D60" s="47" t="s">
        <v>117</v>
      </c>
      <c r="E60" s="48" t="s">
        <v>118</v>
      </c>
      <c r="F60" s="47" t="s">
        <v>119</v>
      </c>
      <c r="G60" s="48" t="s">
        <v>19</v>
      </c>
      <c r="H60" s="48" t="s">
        <v>196</v>
      </c>
      <c r="I60" s="46" t="s"/>
      <c r="J60" t="s">
        <f>=_xlfn.CONCAT(B60," AS `",E60,"#v1`,")</f>
        <v>510</v>
      </c>
    </row>
    <row r="62" spans="3:8" s="481" customFormat="true">
      <c r="C62" s="291" t="s"/>
      <c r="D62" s="291" t="s">
        <v>636</v>
      </c>
      <c r="E62" s="291" t="s">
        <v>84</v>
      </c>
      <c r="F62" s="292" t="s">
        <v>12</v>
      </c>
      <c r="G62" s="293" t="s">
        <v>19</v>
      </c>
      <c r="H62" s="293" t="s">
        <v>196</v>
      </c>
    </row>
    <row r="63" spans="3:8" s="481" customFormat="true">
      <c r="C63" s="291" t="s"/>
      <c r="D63" s="291" t="s">
        <v>638</v>
      </c>
      <c r="E63" s="291" t="s">
        <v>79</v>
      </c>
      <c r="F63" s="292" t="s">
        <v>12</v>
      </c>
      <c r="G63" s="293" t="s">
        <v>19</v>
      </c>
      <c r="H63" s="293" t="s">
        <v>196</v>
      </c>
    </row>
    <row r="64" spans="3:8" s="481" customFormat="true">
      <c r="C64" s="291" t="s"/>
      <c r="D64" s="291" t="s">
        <v>1694</v>
      </c>
      <c r="E64" s="291" t="s">
        <v>604</v>
      </c>
      <c r="F64" s="292" t="s">
        <v>12</v>
      </c>
      <c r="G64" s="293" t="s">
        <v>19</v>
      </c>
      <c r="H64" s="293" t="s">
        <v>196</v>
      </c>
    </row>
    <row r="65" spans="3:8" s="481" customFormat="true">
      <c r="C65" s="291" t="s"/>
      <c r="D65" s="291" t="s">
        <v>1695</v>
      </c>
      <c r="E65" s="291" t="s">
        <v>1696</v>
      </c>
      <c r="F65" s="292" t="s">
        <v>12</v>
      </c>
      <c r="G65" s="293" t="s">
        <v>19</v>
      </c>
      <c r="H65" s="293" t="s">
        <v>196</v>
      </c>
    </row>
  </sheetData>
</worksheet>
</file>

<file path=xl/worksheets/sheet25.xml><?xml version="1.0" encoding="utf-8"?>
<worksheet xmlns="http://schemas.openxmlformats.org/spreadsheetml/2006/main">
  <sheetPr codeName="qtime detail">
    <tabColor rgb="FF92D050"/>
  </sheetPr>
  <dimension ref="J172"/>
  <sheetViews>
    <sheetView showGridLines="true" workbookViewId="0"/>
  </sheetViews>
  <sheetFormatPr baseColWidth="13" defaultRowHeight="18" customHeight="true"/>
  <cols>
    <col min="1" max="1" width="68.9219" customWidth="true"/>
    <col min="2" max="2" width="23.332" customWidth="true"/>
    <col min="3" max="3" width="27.9219" customWidth="true"/>
    <col min="4" max="4" width="16.9922" customWidth="true"/>
    <col min="5" max="5" width="20.7734" customWidth="true"/>
    <col min="6" max="6" width="17.4023" customWidth="true"/>
    <col min="8" max="8" width="29.9414" customWidth="true"/>
    <col min="9" max="9" width="24.2812" customWidth="true"/>
    <col min="10" max="10" width="42.2227" customWidth="true"/>
  </cols>
  <sheetData>
    <row r="1" spans="1:10">
      <c r="A1" s="7" t="s">
        <v>1</v>
      </c>
      <c r="B1" s="7" t="s">
        <v>2</v>
      </c>
      <c r="C1" s="7" t="s">
        <v>202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/>
    </row>
    <row r="2" spans="1:10">
      <c r="A2" s="47" t="s"/>
      <c r="B2" s="47" t="s"/>
      <c r="C2" s="47" t="s"/>
      <c r="D2" s="47" t="s">
        <v>10</v>
      </c>
      <c r="E2" s="47" t="s">
        <v>11</v>
      </c>
      <c r="F2" s="47" t="s">
        <v>12</v>
      </c>
      <c r="G2" s="47" t="s">
        <v>13</v>
      </c>
      <c r="H2" s="47" t="s">
        <v>1204</v>
      </c>
      <c r="I2" s="47" t="s"/>
      <c r="J2" s="47" t="s"/>
    </row>
    <row r="3" spans="1:10">
      <c r="A3" s="47" t="s"/>
      <c r="B3" s="47" t="s"/>
      <c r="C3" s="47" t="s"/>
      <c r="D3" s="47" t="s">
        <v>15</v>
      </c>
      <c r="E3" s="47" t="s">
        <v>16</v>
      </c>
      <c r="F3" s="47" t="s">
        <v>12</v>
      </c>
      <c r="G3" s="47" t="s">
        <v>13</v>
      </c>
      <c r="H3" s="47" t="s">
        <v>1204</v>
      </c>
      <c r="I3" s="47" t="s"/>
      <c r="J3" s="47" t="s"/>
    </row>
    <row r="4" spans="1:10">
      <c r="A4" s="47" t="s"/>
      <c r="B4" s="47" t="s"/>
      <c r="C4" s="47" t="s"/>
      <c r="D4" s="47" t="s"/>
      <c r="E4" s="47" t="s"/>
      <c r="F4" s="47" t="s"/>
      <c r="G4" s="47" t="s"/>
      <c r="H4" s="47" t="s"/>
      <c r="I4" s="47" t="s"/>
      <c r="J4" s="47" t="s"/>
    </row>
    <row r="5" spans="1:10">
      <c r="A5" s="47" t="s">
        <v>1205</v>
      </c>
      <c r="B5" s="47" t="s">
        <v>379</v>
      </c>
      <c r="C5" s="47" t="s">
        <v>215</v>
      </c>
      <c r="D5" s="47" t="s">
        <v>10</v>
      </c>
      <c r="E5" s="47" t="s">
        <v>11</v>
      </c>
      <c r="F5" s="47" t="s">
        <v>12</v>
      </c>
      <c r="G5" s="47" t="s">
        <v>19</v>
      </c>
      <c r="H5" s="47" t="s">
        <v>151</v>
      </c>
      <c r="I5" s="47" t="s"/>
      <c r="J5" s="258" t="s">
        <f>=_xlfn.CONCAT(B5," AS `",E5,"#v1`,")</f>
        <v>380</v>
      </c>
    </row>
    <row r="6" spans="1:10">
      <c r="A6" s="47" t="s"/>
      <c r="B6" s="47" t="s"/>
      <c r="C6" s="80" t="s">
        <v>22</v>
      </c>
      <c r="D6" s="47" t="s">
        <v>22</v>
      </c>
      <c r="E6" s="80" t="s">
        <v>23</v>
      </c>
      <c r="F6" s="80" t="s">
        <v>24</v>
      </c>
      <c r="G6" s="47" t="s">
        <v>19</v>
      </c>
      <c r="H6" s="80" t="s">
        <v>151</v>
      </c>
      <c r="I6" s="47" t="s"/>
      <c r="J6" s="258" t="s">
        <f>=_xlfn.CONCAT(B6," AS `",E6,"#v1`,")</f>
        <v>326</v>
      </c>
    </row>
    <row r="7" spans="1:10">
      <c r="A7" s="47" t="s">
        <v>1205</v>
      </c>
      <c r="B7" s="47" t="s">
        <v>1206</v>
      </c>
      <c r="C7" s="47" t="s">
        <v>1207</v>
      </c>
      <c r="D7" s="47" t="s">
        <v>401</v>
      </c>
      <c r="E7" s="47" t="s">
        <v>402</v>
      </c>
      <c r="F7" s="47" t="s">
        <v>618</v>
      </c>
      <c r="G7" s="47" t="s">
        <v>19</v>
      </c>
      <c r="H7" s="80" t="s">
        <v>151</v>
      </c>
      <c r="I7" s="47" t="s"/>
      <c r="J7" s="258" t="s">
        <f>=_xlfn.CONCAT(B7," AS `",E7,"#v1`,")</f>
        <v>1208</v>
      </c>
    </row>
    <row r="8" spans="1:10">
      <c r="A8" s="47" t="s">
        <v>1205</v>
      </c>
      <c r="B8" s="47" t="s">
        <v>26</v>
      </c>
      <c r="C8" s="47" t="s">
        <v>1209</v>
      </c>
      <c r="D8" s="47" t="s">
        <v>28</v>
      </c>
      <c r="E8" s="47" t="s">
        <v>29</v>
      </c>
      <c r="F8" s="80" t="s">
        <v>12</v>
      </c>
      <c r="G8" s="47" t="s">
        <v>19</v>
      </c>
      <c r="H8" s="80" t="s">
        <v>151</v>
      </c>
      <c r="I8" s="47" t="s"/>
      <c r="J8" s="258" t="s">
        <f>=_xlfn.CONCAT(B8," AS `",E8,"#v1`,")</f>
        <v>30</v>
      </c>
    </row>
    <row r="9" spans="1:10">
      <c r="A9" s="47" t="s">
        <v>1205</v>
      </c>
      <c r="B9" s="47" t="s">
        <v>36</v>
      </c>
      <c r="C9" s="47" t="s">
        <v>1210</v>
      </c>
      <c r="D9" s="47" t="s">
        <v>38</v>
      </c>
      <c r="E9" s="47" t="s">
        <v>39</v>
      </c>
      <c r="F9" s="80" t="s">
        <v>12</v>
      </c>
      <c r="G9" s="47" t="s">
        <v>19</v>
      </c>
      <c r="H9" s="80" t="s">
        <v>151</v>
      </c>
      <c r="I9" s="47" t="s"/>
      <c r="J9" s="258" t="s">
        <f>=_xlfn.CONCAT(B9," AS `",E9,"#v1`,")</f>
        <v>40</v>
      </c>
    </row>
    <row r="10" spans="1:10">
      <c r="A10" s="47" t="s">
        <v>1205</v>
      </c>
      <c r="B10" s="47" t="s">
        <v>41</v>
      </c>
      <c r="C10" s="47" t="s">
        <v>42</v>
      </c>
      <c r="D10" s="47" t="s">
        <v>43</v>
      </c>
      <c r="E10" s="47" t="s">
        <v>44</v>
      </c>
      <c r="F10" s="47" t="s">
        <v>12</v>
      </c>
      <c r="G10" s="47" t="s">
        <v>19</v>
      </c>
      <c r="H10" s="80" t="s">
        <v>151</v>
      </c>
      <c r="I10" s="47" t="s"/>
      <c r="J10" s="258" t="s">
        <f>=_xlfn.CONCAT(B10," AS `",E10,"#v1`,")</f>
        <v>45</v>
      </c>
    </row>
    <row r="11" spans="1:10">
      <c r="A11" s="47" t="s">
        <v>1205</v>
      </c>
      <c r="B11" s="47" t="s">
        <v>463</v>
      </c>
      <c r="C11" s="47" t="s">
        <v>1211</v>
      </c>
      <c r="D11" s="47" t="s">
        <v>1212</v>
      </c>
      <c r="E11" s="47" t="s">
        <v>236</v>
      </c>
      <c r="F11" s="47" t="s">
        <v>12</v>
      </c>
      <c r="G11" s="47" t="s">
        <v>19</v>
      </c>
      <c r="H11" s="80" t="s">
        <v>151</v>
      </c>
      <c r="I11" s="47" t="s"/>
      <c r="J11" s="258" t="s">
        <f>=_xlfn.CONCAT(B11," AS `",E11,"#v1`,")</f>
        <v>465</v>
      </c>
    </row>
    <row r="12" spans="1:10">
      <c r="A12" s="47" t="s">
        <v>1205</v>
      </c>
      <c r="B12" s="47" t="s">
        <v>471</v>
      </c>
      <c r="C12" s="47" t="s">
        <v>1213</v>
      </c>
      <c r="D12" s="47" t="s">
        <v>1214</v>
      </c>
      <c r="E12" s="47" t="s">
        <v>473</v>
      </c>
      <c r="F12" s="47" t="s">
        <v>12</v>
      </c>
      <c r="G12" s="47" t="s">
        <v>19</v>
      </c>
      <c r="H12" s="80" t="s">
        <v>151</v>
      </c>
      <c r="I12" s="47" t="s"/>
      <c r="J12" s="258" t="s">
        <f>=_xlfn.CONCAT(B12," AS `",E12,"#v1`,")</f>
        <v>474</v>
      </c>
    </row>
    <row r="13" spans="1:10">
      <c r="A13" s="47" t="s">
        <v>1205</v>
      </c>
      <c r="B13" s="47" t="s">
        <v>1215</v>
      </c>
      <c r="C13" s="47" t="s">
        <v>1216</v>
      </c>
      <c r="D13" s="47" t="s">
        <v>1217</v>
      </c>
      <c r="E13" s="47" t="s">
        <v>1218</v>
      </c>
      <c r="F13" s="47" t="s">
        <v>12</v>
      </c>
      <c r="G13" s="47" t="s">
        <v>19</v>
      </c>
      <c r="H13" s="80" t="s">
        <v>151</v>
      </c>
      <c r="I13" s="47" t="s"/>
      <c r="J13" s="258" t="s">
        <f>=_xlfn.CONCAT(B13," AS `",E13,"#v1`,")</f>
        <v>1219</v>
      </c>
    </row>
    <row r="14" spans="1:10">
      <c r="A14" s="47" t="s">
        <v>1205</v>
      </c>
      <c r="B14" s="47" t="s">
        <v>404</v>
      </c>
      <c r="C14" s="47" t="s">
        <v>1220</v>
      </c>
      <c r="D14" s="47" t="s">
        <v>288</v>
      </c>
      <c r="E14" s="47" t="s">
        <v>289</v>
      </c>
      <c r="F14" s="47" t="s">
        <v>12</v>
      </c>
      <c r="G14" s="47" t="s">
        <v>19</v>
      </c>
      <c r="H14" s="80" t="s">
        <v>151</v>
      </c>
      <c r="I14" s="47" t="s"/>
      <c r="J14" s="258" t="s">
        <f>=_xlfn.CONCAT(B14," AS `",E14,"#v1`,")</f>
        <v>406</v>
      </c>
    </row>
    <row r="15" spans="1:10">
      <c r="A15" s="47" t="s">
        <v>1205</v>
      </c>
      <c r="B15" s="47" t="s">
        <v>1221</v>
      </c>
      <c r="C15" s="47" t="s">
        <v>1222</v>
      </c>
      <c r="D15" s="47" t="s">
        <v>1223</v>
      </c>
      <c r="E15" s="47" t="s">
        <v>1224</v>
      </c>
      <c r="F15" s="47" t="s">
        <v>1225</v>
      </c>
      <c r="G15" s="47" t="s">
        <v>19</v>
      </c>
      <c r="H15" s="80" t="s">
        <v>151</v>
      </c>
      <c r="I15" s="47" t="s"/>
      <c r="J15" s="258" t="s">
        <f>=_xlfn.CONCAT(B15," AS `",E15,"#v1`,")</f>
        <v>1226</v>
      </c>
    </row>
    <row r="16" spans="1:10">
      <c r="A16" s="47" t="s">
        <v>1205</v>
      </c>
      <c r="B16" s="47" t="s">
        <v>1227</v>
      </c>
      <c r="C16" s="47" t="s">
        <v>1096</v>
      </c>
      <c r="D16" s="47" t="s">
        <v>1096</v>
      </c>
      <c r="E16" s="47" t="s">
        <v>1228</v>
      </c>
      <c r="F16" s="47" t="s">
        <v>1229</v>
      </c>
      <c r="G16" s="47" t="s">
        <v>19</v>
      </c>
      <c r="H16" s="80" t="s">
        <v>151</v>
      </c>
      <c r="I16" s="47" t="s"/>
      <c r="J16" s="258" t="s">
        <f>=_xlfn.CONCAT(B16," AS `",E16,"#v1`,")</f>
        <v>1230</v>
      </c>
    </row>
    <row r="17" spans="1:10">
      <c r="A17" s="47" t="s">
        <v>1205</v>
      </c>
      <c r="B17" s="47" t="s">
        <v>1231</v>
      </c>
      <c r="C17" s="47" t="s">
        <v>1232</v>
      </c>
      <c r="D17" s="47" t="s">
        <v>1233</v>
      </c>
      <c r="E17" s="47" t="s">
        <v>1234</v>
      </c>
      <c r="F17" s="47" t="s">
        <v>12</v>
      </c>
      <c r="G17" s="47" t="s">
        <v>19</v>
      </c>
      <c r="H17" s="80" t="s">
        <v>151</v>
      </c>
      <c r="I17" s="47" t="s"/>
      <c r="J17" s="258" t="s">
        <f>=_xlfn.CONCAT(B17," AS `",E17,"#v1`,")</f>
        <v>1235</v>
      </c>
    </row>
    <row r="18" spans="1:10">
      <c r="A18" s="47" t="s">
        <v>1205</v>
      </c>
      <c r="B18" s="47" t="s">
        <v>1236</v>
      </c>
      <c r="C18" s="47" t="s">
        <v>1237</v>
      </c>
      <c r="D18" s="47" t="s">
        <v>1238</v>
      </c>
      <c r="E18" s="47" t="s">
        <v>1239</v>
      </c>
      <c r="F18" s="47" t="s">
        <v>12</v>
      </c>
      <c r="G18" s="47" t="s">
        <v>19</v>
      </c>
      <c r="H18" s="80" t="s">
        <v>151</v>
      </c>
      <c r="I18" s="47" t="s"/>
      <c r="J18" s="258" t="s">
        <f>=_xlfn.CONCAT(B18," AS `",E18,"#v1`,")</f>
        <v>1240</v>
      </c>
    </row>
    <row r="19" spans="1:10">
      <c r="A19" s="47" t="s">
        <v>1205</v>
      </c>
      <c r="B19" s="47" t="s">
        <v>391</v>
      </c>
      <c r="C19" s="47" t="s">
        <v>1241</v>
      </c>
      <c r="D19" s="47" t="s">
        <v>278</v>
      </c>
      <c r="E19" s="47" t="s">
        <v>279</v>
      </c>
      <c r="F19" s="47" t="s">
        <v>12</v>
      </c>
      <c r="G19" s="47" t="s">
        <v>19</v>
      </c>
      <c r="H19" s="80" t="s">
        <v>151</v>
      </c>
      <c r="I19" s="47" t="s"/>
      <c r="J19" s="258" t="s">
        <f>=_xlfn.CONCAT(B19," AS `",E19,"#v1`,")</f>
        <v>393</v>
      </c>
    </row>
    <row r="20" spans="1:10">
      <c r="A20" s="47" t="s">
        <v>1205</v>
      </c>
      <c r="B20" s="47" t="s">
        <v>417</v>
      </c>
      <c r="C20" s="47" t="s">
        <v>1242</v>
      </c>
      <c r="D20" s="47" t="s">
        <v>419</v>
      </c>
      <c r="E20" s="47" t="s">
        <v>420</v>
      </c>
      <c r="F20" s="47" t="s">
        <v>1243</v>
      </c>
      <c r="G20" s="47" t="s">
        <v>19</v>
      </c>
      <c r="H20" s="80" t="s">
        <v>151</v>
      </c>
      <c r="I20" s="47" t="s"/>
      <c r="J20" s="258" t="s">
        <f>=_xlfn.CONCAT(B20," AS `",E20,"#v1`,")</f>
        <v>421</v>
      </c>
    </row>
    <row r="21" spans="1:10">
      <c r="A21" s="47" t="s">
        <v>1205</v>
      </c>
      <c r="B21" s="47" t="s">
        <v>1244</v>
      </c>
      <c r="C21" s="47" t="s">
        <v>1245</v>
      </c>
      <c r="D21" s="47" t="s">
        <v>1246</v>
      </c>
      <c r="E21" s="47" t="s">
        <v>1247</v>
      </c>
      <c r="F21" s="47" t="s">
        <v>1243</v>
      </c>
      <c r="G21" s="47" t="s">
        <v>19</v>
      </c>
      <c r="H21" s="80" t="s">
        <v>151</v>
      </c>
      <c r="I21" s="47" t="s"/>
      <c r="J21" s="258" t="s">
        <f>=_xlfn.CONCAT(B21," AS `",E21,"#v1`,")</f>
        <v>1248</v>
      </c>
    </row>
    <row r="22" spans="1:10">
      <c r="A22" s="47" t="s">
        <v>1205</v>
      </c>
      <c r="B22" s="47" t="s">
        <v>736</v>
      </c>
      <c r="C22" s="47" t="s">
        <v>1249</v>
      </c>
      <c r="D22" s="47" t="s">
        <v>738</v>
      </c>
      <c r="E22" s="47" t="s">
        <v>739</v>
      </c>
      <c r="F22" s="47" t="s">
        <v>119</v>
      </c>
      <c r="G22" s="47" t="s">
        <v>19</v>
      </c>
      <c r="H22" s="80" t="s">
        <v>151</v>
      </c>
      <c r="I22" s="47" t="s"/>
      <c r="J22" s="258" t="s">
        <f>=_xlfn.CONCAT(B22," AS `",E22,"#v1`,")</f>
        <v>771</v>
      </c>
    </row>
    <row r="23" spans="1:10">
      <c r="A23" s="47" t="s">
        <v>1205</v>
      </c>
      <c r="B23" s="47" t="s">
        <v>740</v>
      </c>
      <c r="C23" s="47" t="s">
        <v>1250</v>
      </c>
      <c r="D23" s="47" t="s">
        <v>742</v>
      </c>
      <c r="E23" s="47" t="s">
        <v>743</v>
      </c>
      <c r="F23" s="47" t="s">
        <v>119</v>
      </c>
      <c r="G23" s="47" t="s">
        <v>19</v>
      </c>
      <c r="H23" s="80" t="s">
        <v>151</v>
      </c>
      <c r="I23" s="47" t="s"/>
      <c r="J23" s="258" t="s">
        <f>=_xlfn.CONCAT(B23," AS `",E23,"#v1`,")</f>
        <v>772</v>
      </c>
    </row>
    <row r="24" spans="1:10">
      <c r="A24" s="47" t="s">
        <v>1205</v>
      </c>
      <c r="B24" s="47" t="s">
        <v>1251</v>
      </c>
      <c r="C24" s="47" t="s">
        <v>1252</v>
      </c>
      <c r="D24" s="47" t="s">
        <v>1253</v>
      </c>
      <c r="E24" s="47" t="s">
        <v>1254</v>
      </c>
      <c r="F24" s="47" t="s">
        <v>119</v>
      </c>
      <c r="G24" s="47" t="s">
        <v>19</v>
      </c>
      <c r="H24" s="80" t="s">
        <v>151</v>
      </c>
      <c r="I24" s="47" t="s"/>
      <c r="J24" s="258" t="s">
        <f>=_xlfn.CONCAT(B24," AS `",E24,"#v1`,")</f>
        <v>1255</v>
      </c>
    </row>
    <row r="25" spans="1:10">
      <c r="A25" s="47" t="s">
        <v>1205</v>
      </c>
      <c r="B25" s="47" t="s">
        <v>1256</v>
      </c>
      <c r="C25" s="47" t="s">
        <v>1257</v>
      </c>
      <c r="D25" s="47" t="s">
        <v>1258</v>
      </c>
      <c r="E25" s="47" t="s">
        <v>1259</v>
      </c>
      <c r="F25" s="47" t="s">
        <v>119</v>
      </c>
      <c r="G25" s="47" t="s">
        <v>19</v>
      </c>
      <c r="H25" s="80" t="s">
        <v>151</v>
      </c>
      <c r="I25" s="47" t="s"/>
      <c r="J25" s="258" t="s">
        <f>=_xlfn.CONCAT(B25," AS `",E25,"#v1`,")</f>
        <v>1260</v>
      </c>
    </row>
    <row r="26" spans="1:10">
      <c r="A26" s="47" t="s">
        <v>1205</v>
      </c>
      <c r="B26" s="47" t="s">
        <v>1261</v>
      </c>
      <c r="C26" s="47" t="s">
        <v>1262</v>
      </c>
      <c r="D26" s="47" t="s">
        <v>1263</v>
      </c>
      <c r="E26" s="47" t="s">
        <v>1264</v>
      </c>
      <c r="F26" s="47" t="s">
        <v>12</v>
      </c>
      <c r="G26" s="47" t="s">
        <v>19</v>
      </c>
      <c r="H26" s="80" t="s">
        <v>151</v>
      </c>
      <c r="I26" s="47" t="s"/>
      <c r="J26" s="258" t="s">
        <f>=_xlfn.CONCAT(B26," AS `",E26,"#v1`,")</f>
        <v>1265</v>
      </c>
    </row>
    <row r="27" spans="1:10">
      <c r="A27" s="47" t="s">
        <v>1205</v>
      </c>
      <c r="B27" s="47" t="s">
        <v>1266</v>
      </c>
      <c r="C27" s="47" t="s">
        <v>1267</v>
      </c>
      <c r="D27" s="47" t="s">
        <v>1268</v>
      </c>
      <c r="E27" s="47" t="s">
        <v>1268</v>
      </c>
      <c r="F27" s="47" t="s">
        <v>12</v>
      </c>
      <c r="G27" s="47" t="s">
        <v>19</v>
      </c>
      <c r="H27" s="80" t="s">
        <v>151</v>
      </c>
      <c r="I27" s="47" t="s"/>
      <c r="J27" s="258" t="s">
        <f>=_xlfn.CONCAT(B27," AS `",E27,"#v1`,")</f>
        <v>1269</v>
      </c>
    </row>
    <row r="28" spans="1:10">
      <c r="A28" s="47" t="s">
        <v>1205</v>
      </c>
      <c r="B28" s="47" t="s">
        <v>1270</v>
      </c>
      <c r="C28" s="47" t="s">
        <v>1271</v>
      </c>
      <c r="D28" s="47" t="s">
        <v>1272</v>
      </c>
      <c r="E28" s="47" t="s">
        <v>1273</v>
      </c>
      <c r="F28" s="47" t="s">
        <v>1274</v>
      </c>
      <c r="G28" s="47" t="s">
        <v>19</v>
      </c>
      <c r="H28" s="80" t="s">
        <v>151</v>
      </c>
      <c r="I28" s="47" t="s"/>
      <c r="J28" s="258" t="s">
        <f>=_xlfn.CONCAT(B28," AS `",E28,"#v1`,")</f>
        <v>1275</v>
      </c>
    </row>
    <row r="29" spans="1:10">
      <c r="A29" s="47" t="s">
        <v>1205</v>
      </c>
      <c r="B29" s="47" t="s">
        <v>1276</v>
      </c>
      <c r="C29" s="47" t="s">
        <v>1277</v>
      </c>
      <c r="D29" s="47" t="s">
        <v>1278</v>
      </c>
      <c r="E29" s="47" t="s">
        <v>1279</v>
      </c>
      <c r="F29" s="47" t="s">
        <v>1274</v>
      </c>
      <c r="G29" s="47" t="s">
        <v>19</v>
      </c>
      <c r="H29" s="80" t="s">
        <v>151</v>
      </c>
      <c r="I29" s="47" t="s"/>
      <c r="J29" s="258" t="s">
        <f>=_xlfn.CONCAT(B29," AS `",E29,"#v1`,")</f>
        <v>1280</v>
      </c>
    </row>
    <row r="30" spans="1:10">
      <c r="A30" s="47" t="s">
        <v>1205</v>
      </c>
      <c r="B30" s="47" t="s">
        <v>1281</v>
      </c>
      <c r="C30" s="47" t="s">
        <v>1282</v>
      </c>
      <c r="D30" s="47" t="s">
        <v>1283</v>
      </c>
      <c r="E30" s="47" t="s">
        <v>1284</v>
      </c>
      <c r="F30" s="47" t="s">
        <v>1274</v>
      </c>
      <c r="G30" s="47" t="s">
        <v>19</v>
      </c>
      <c r="H30" s="80" t="s">
        <v>151</v>
      </c>
      <c r="I30" s="47" t="s"/>
      <c r="J30" s="258" t="s">
        <f>=_xlfn.CONCAT(B30," AS `",E30,"#v1`,")</f>
        <v>1285</v>
      </c>
    </row>
    <row r="31" spans="1:10">
      <c r="A31" s="47" t="s">
        <v>1205</v>
      </c>
      <c r="B31" s="47" t="s">
        <v>1286</v>
      </c>
      <c r="C31" s="47" t="s">
        <v>1287</v>
      </c>
      <c r="D31" s="47" t="s">
        <v>1288</v>
      </c>
      <c r="E31" s="47" t="s">
        <v>1289</v>
      </c>
      <c r="F31" s="47" t="s">
        <v>1290</v>
      </c>
      <c r="G31" s="47" t="s">
        <v>19</v>
      </c>
      <c r="H31" s="80" t="s">
        <v>151</v>
      </c>
      <c r="I31" s="47" t="s"/>
      <c r="J31" s="258" t="s">
        <f>=_xlfn.CONCAT(B31," AS `",E31,"#v1`,")</f>
        <v>1291</v>
      </c>
    </row>
    <row r="32" spans="1:10">
      <c r="A32" s="47" t="s">
        <v>1205</v>
      </c>
      <c r="B32" s="47" t="s">
        <v>1292</v>
      </c>
      <c r="C32" s="258" t="s">
        <v>1293</v>
      </c>
      <c r="D32" s="47" t="s">
        <v>1294</v>
      </c>
      <c r="E32" s="47" t="s">
        <v>1295</v>
      </c>
      <c r="F32" s="47" t="s">
        <v>1296</v>
      </c>
      <c r="G32" s="47" t="s">
        <v>19</v>
      </c>
      <c r="H32" s="80" t="s">
        <v>151</v>
      </c>
      <c r="I32" s="47" t="s"/>
      <c r="J32" s="258" t="s">
        <f>=_xlfn.CONCAT(B32," AS `",E32,"#v1`,")</f>
        <v>1297</v>
      </c>
    </row>
    <row r="33" spans="1:10">
      <c r="A33" s="47" t="s">
        <v>1205</v>
      </c>
      <c r="B33" s="47" t="s">
        <v>1298</v>
      </c>
      <c r="C33" s="47" t="s">
        <v>1299</v>
      </c>
      <c r="D33" s="47" t="s">
        <v>1300</v>
      </c>
      <c r="E33" s="47" t="s">
        <v>1301</v>
      </c>
      <c r="F33" s="47" t="s">
        <v>1296</v>
      </c>
      <c r="G33" s="47" t="s">
        <v>19</v>
      </c>
      <c r="H33" s="80" t="s">
        <v>151</v>
      </c>
      <c r="I33" s="47" t="s"/>
      <c r="J33" s="258" t="s">
        <f>=_xlfn.CONCAT(B33," AS `",E33,"#v1`,")</f>
        <v>1302</v>
      </c>
    </row>
    <row r="34" spans="1:10">
      <c r="A34" s="47" t="s">
        <v>1205</v>
      </c>
      <c r="B34" s="47" t="s">
        <v>1303</v>
      </c>
      <c r="C34" s="47" t="s">
        <v>1304</v>
      </c>
      <c r="D34" s="47" t="s">
        <v>1304</v>
      </c>
      <c r="E34" s="47" t="s">
        <v>1305</v>
      </c>
      <c r="F34" s="47" t="s">
        <v>12</v>
      </c>
      <c r="G34" s="47" t="s">
        <v>19</v>
      </c>
      <c r="H34" s="80" t="s">
        <v>151</v>
      </c>
      <c r="I34" s="47" t="s"/>
      <c r="J34" s="258" t="s">
        <f>=_xlfn.CONCAT(B34," AS `",E34,"#v1`,")</f>
        <v>1306</v>
      </c>
    </row>
    <row r="35" spans="1:10">
      <c r="A35" s="47" t="s">
        <v>1205</v>
      </c>
      <c r="B35" s="47" t="s">
        <v>1307</v>
      </c>
      <c r="C35" s="47" t="s">
        <v>1308</v>
      </c>
      <c r="D35" s="47" t="s">
        <v>1309</v>
      </c>
      <c r="E35" s="47" t="s">
        <v>1310</v>
      </c>
      <c r="F35" s="47" t="s">
        <v>12</v>
      </c>
      <c r="G35" s="47" t="s">
        <v>19</v>
      </c>
      <c r="H35" s="80" t="s">
        <v>151</v>
      </c>
      <c r="I35" s="47" t="s"/>
      <c r="J35" s="258" t="s">
        <f>=_xlfn.CONCAT(B35," AS `",E35,"#v1`,")</f>
        <v>1311</v>
      </c>
    </row>
    <row r="36" spans="1:10">
      <c r="A36" s="47" t="s">
        <v>1205</v>
      </c>
      <c r="B36" s="47" t="s">
        <v>1312</v>
      </c>
      <c r="C36" s="47" t="s">
        <v>1313</v>
      </c>
      <c r="D36" s="47" t="s">
        <v>1314</v>
      </c>
      <c r="E36" s="47" t="s">
        <v>1315</v>
      </c>
      <c r="F36" s="47" t="s">
        <v>1316</v>
      </c>
      <c r="G36" s="47" t="s">
        <v>19</v>
      </c>
      <c r="H36" s="80" t="s">
        <v>151</v>
      </c>
      <c r="I36" s="47" t="s"/>
      <c r="J36" s="258" t="s">
        <f>=_xlfn.CONCAT(B36," AS `",E36,"#v1`,")</f>
        <v>1317</v>
      </c>
    </row>
    <row r="37" spans="1:10">
      <c r="A37" s="47" t="s">
        <v>1205</v>
      </c>
      <c r="B37" s="47" t="s">
        <v>509</v>
      </c>
      <c r="C37" s="47" t="s">
        <v>117</v>
      </c>
      <c r="D37" s="47" t="s">
        <v>117</v>
      </c>
      <c r="E37" s="47" t="s">
        <v>118</v>
      </c>
      <c r="F37" s="47" t="s">
        <v>119</v>
      </c>
      <c r="G37" s="47" t="s">
        <v>19</v>
      </c>
      <c r="H37" s="80" t="s">
        <v>151</v>
      </c>
      <c r="I37" s="47" t="s"/>
      <c r="J37" s="258" t="s">
        <f>=_xlfn.CONCAT(B37," AS `",E37,"#v1`,")</f>
        <v>510</v>
      </c>
    </row>
    <row r="38" spans="1:10" s="475" customFormat="true">
      <c r="A38" s="259" t="s">
        <v>1318</v>
      </c>
      <c r="B38" s="259" t="s">
        <v>1319</v>
      </c>
      <c r="C38" s="259" t="s">
        <v>1320</v>
      </c>
      <c r="D38" s="259" t="s">
        <v>1321</v>
      </c>
      <c r="E38" s="259" t="s">
        <v>1322</v>
      </c>
      <c r="F38" s="47" t="s">
        <v>12</v>
      </c>
      <c r="G38" s="47" t="s">
        <v>19</v>
      </c>
      <c r="H38" s="80" t="s">
        <v>151</v>
      </c>
      <c r="I38" s="258" t="s">
        <v>1323</v>
      </c>
      <c r="J38" s="258" t="s"/>
    </row>
    <row r="39" spans="1:10" s="475" customFormat="true">
      <c r="A39" s="259" t="s">
        <v>1318</v>
      </c>
      <c r="B39" s="259" t="s">
        <v>1324</v>
      </c>
      <c r="C39" s="259" t="s">
        <v>1325</v>
      </c>
      <c r="D39" s="259" t="s">
        <v>1326</v>
      </c>
      <c r="E39" s="259" t="s">
        <v>1327</v>
      </c>
      <c r="F39" s="47" t="s">
        <v>12</v>
      </c>
      <c r="G39" s="47" t="s">
        <v>19</v>
      </c>
      <c r="H39" s="47" t="s">
        <v>151</v>
      </c>
      <c r="I39" s="258" t="s">
        <v>1323</v>
      </c>
      <c r="J39" s="258" t="s"/>
    </row>
    <row r="40" spans="1:10" s="475" customFormat="true">
      <c r="A40" s="259" t="s">
        <v>1318</v>
      </c>
      <c r="B40" s="259" t="s">
        <v>1328</v>
      </c>
      <c r="C40" s="259" t="s">
        <v>1329</v>
      </c>
      <c r="D40" s="259" t="s">
        <v>1330</v>
      </c>
      <c r="E40" s="259" t="s">
        <v>1331</v>
      </c>
      <c r="F40" s="47" t="s">
        <v>12</v>
      </c>
      <c r="G40" s="47" t="s">
        <v>19</v>
      </c>
      <c r="H40" s="47" t="s">
        <v>151</v>
      </c>
      <c r="I40" s="258" t="s">
        <v>1323</v>
      </c>
      <c r="J40" s="258" t="s"/>
    </row>
    <row r="41" spans="1:10" s="475" customFormat="true">
      <c r="A41" s="259" t="s">
        <v>1318</v>
      </c>
      <c r="B41" s="259" t="s">
        <v>1332</v>
      </c>
      <c r="C41" s="259" t="s">
        <v>1333</v>
      </c>
      <c r="D41" s="259" t="s">
        <v>1334</v>
      </c>
      <c r="E41" s="259" t="s">
        <v>1335</v>
      </c>
      <c r="F41" s="47" t="s">
        <v>12</v>
      </c>
      <c r="G41" s="47" t="s">
        <v>19</v>
      </c>
      <c r="H41" s="47" t="s">
        <v>151</v>
      </c>
      <c r="I41" s="258" t="s">
        <v>1323</v>
      </c>
      <c r="J41" s="258" t="s"/>
    </row>
    <row r="42" spans="1:10" s="475" customFormat="true">
      <c r="A42" s="259" t="s">
        <v>1318</v>
      </c>
      <c r="B42" s="259" t="s">
        <v>1336</v>
      </c>
      <c r="C42" s="259" t="s">
        <v>1337</v>
      </c>
      <c r="D42" s="259" t="s">
        <v>1338</v>
      </c>
      <c r="E42" s="259" t="s">
        <v>1339</v>
      </c>
      <c r="F42" s="47" t="s">
        <v>12</v>
      </c>
      <c r="G42" s="47" t="s">
        <v>19</v>
      </c>
      <c r="H42" s="47" t="s">
        <v>151</v>
      </c>
      <c r="I42" s="258" t="s">
        <v>1323</v>
      </c>
      <c r="J42" s="258" t="s"/>
    </row>
    <row r="43" spans="1:10" s="475" customFormat="true">
      <c r="A43" s="259" t="s">
        <v>1318</v>
      </c>
      <c r="B43" s="259" t="s">
        <v>1340</v>
      </c>
      <c r="C43" s="259" t="s">
        <v>1341</v>
      </c>
      <c r="D43" s="259" t="s">
        <v>1342</v>
      </c>
      <c r="E43" s="259" t="s">
        <v>1343</v>
      </c>
      <c r="F43" s="259" t="s">
        <v>12</v>
      </c>
      <c r="G43" s="47" t="s">
        <v>19</v>
      </c>
      <c r="H43" s="47" t="s">
        <v>151</v>
      </c>
      <c r="I43" s="258" t="s">
        <v>1323</v>
      </c>
      <c r="J43" s="258" t="s"/>
    </row>
    <row r="44" spans="1:10" s="475" customFormat="true">
      <c r="A44" s="259" t="s">
        <v>1318</v>
      </c>
      <c r="B44" s="259" t="s">
        <v>1344</v>
      </c>
      <c r="C44" s="259" t="s">
        <v>1345</v>
      </c>
      <c r="D44" s="259" t="s">
        <v>1346</v>
      </c>
      <c r="E44" s="259" t="s">
        <v>1347</v>
      </c>
      <c r="F44" s="259" t="s">
        <v>12</v>
      </c>
      <c r="G44" s="47" t="s">
        <v>19</v>
      </c>
      <c r="H44" s="47" t="s">
        <v>151</v>
      </c>
      <c r="I44" s="258" t="s">
        <v>1323</v>
      </c>
      <c r="J44" s="258" t="s"/>
    </row>
    <row r="45" spans="1:10" s="475" customFormat="true">
      <c r="A45" s="259" t="s">
        <v>1318</v>
      </c>
      <c r="B45" s="259" t="s">
        <v>1348</v>
      </c>
      <c r="C45" s="259" t="s">
        <v>1349</v>
      </c>
      <c r="D45" s="259" t="s">
        <v>1350</v>
      </c>
      <c r="E45" s="259" t="s">
        <v>1351</v>
      </c>
      <c r="F45" s="259" t="s">
        <v>12</v>
      </c>
      <c r="G45" s="47" t="s">
        <v>19</v>
      </c>
      <c r="H45" s="47" t="s">
        <v>151</v>
      </c>
      <c r="I45" s="258" t="s">
        <v>1323</v>
      </c>
      <c r="J45" s="258" t="s"/>
    </row>
    <row r="46" spans="1:10" s="475" customFormat="true">
      <c r="A46" s="259" t="s">
        <v>1318</v>
      </c>
      <c r="B46" s="259" t="s">
        <v>1352</v>
      </c>
      <c r="C46" s="259" t="s">
        <v>1353</v>
      </c>
      <c r="D46" s="259" t="s">
        <v>1354</v>
      </c>
      <c r="E46" s="259" t="s">
        <v>1355</v>
      </c>
      <c r="F46" s="259" t="s">
        <v>12</v>
      </c>
      <c r="G46" s="47" t="s">
        <v>19</v>
      </c>
      <c r="H46" s="47" t="s">
        <v>151</v>
      </c>
      <c r="I46" s="258" t="s">
        <v>1323</v>
      </c>
      <c r="J46" s="258" t="s"/>
    </row>
    <row r="47" spans="1:10" s="475" customFormat="true">
      <c r="A47" s="259" t="s">
        <v>1318</v>
      </c>
      <c r="B47" s="259" t="s">
        <v>1356</v>
      </c>
      <c r="C47" s="259" t="s">
        <v>1357</v>
      </c>
      <c r="D47" s="259" t="s">
        <v>1358</v>
      </c>
      <c r="E47" s="259" t="s">
        <v>1359</v>
      </c>
      <c r="F47" s="259" t="s">
        <v>119</v>
      </c>
      <c r="G47" s="47" t="s">
        <v>19</v>
      </c>
      <c r="H47" s="47" t="s">
        <v>151</v>
      </c>
      <c r="I47" s="258" t="s">
        <v>1323</v>
      </c>
      <c r="J47" s="258" t="s"/>
    </row>
    <row r="48" spans="1:10" s="475" customFormat="true">
      <c r="A48" s="259" t="s">
        <v>1318</v>
      </c>
      <c r="B48" s="259" t="s">
        <v>1360</v>
      </c>
      <c r="C48" s="259" t="s">
        <v>1361</v>
      </c>
      <c r="D48" s="259" t="s">
        <v>1362</v>
      </c>
      <c r="E48" s="259" t="s">
        <v>1363</v>
      </c>
      <c r="F48" s="259" t="s">
        <v>119</v>
      </c>
      <c r="G48" s="47" t="s">
        <v>19</v>
      </c>
      <c r="H48" s="47" t="s">
        <v>151</v>
      </c>
      <c r="I48" s="258" t="s">
        <v>1323</v>
      </c>
      <c r="J48" s="258" t="s"/>
    </row>
    <row r="49" spans="1:10" s="475" customFormat="true">
      <c r="A49" s="259" t="s">
        <v>1318</v>
      </c>
      <c r="B49" s="259" t="s">
        <v>1364</v>
      </c>
      <c r="C49" s="259" t="s">
        <v>1365</v>
      </c>
      <c r="D49" s="259" t="s">
        <v>1366</v>
      </c>
      <c r="E49" s="259" t="s">
        <v>1367</v>
      </c>
      <c r="F49" s="259" t="s">
        <v>119</v>
      </c>
      <c r="G49" s="47" t="s">
        <v>19</v>
      </c>
      <c r="H49" s="47" t="s">
        <v>151</v>
      </c>
      <c r="I49" s="258" t="s">
        <v>1323</v>
      </c>
      <c r="J49" s="258" t="s"/>
    </row>
    <row r="50" spans="1:10" s="475" customFormat="true">
      <c r="A50" s="259" t="s">
        <v>1318</v>
      </c>
      <c r="B50" s="259" t="s">
        <v>1368</v>
      </c>
      <c r="C50" s="259" t="s">
        <v>1369</v>
      </c>
      <c r="D50" s="259" t="s">
        <v>1370</v>
      </c>
      <c r="E50" s="259" t="s">
        <v>1371</v>
      </c>
      <c r="F50" s="259" t="s">
        <v>119</v>
      </c>
      <c r="G50" s="47" t="s">
        <v>19</v>
      </c>
      <c r="H50" s="47" t="s">
        <v>151</v>
      </c>
      <c r="I50" s="258" t="s">
        <v>1323</v>
      </c>
      <c r="J50" s="258" t="s"/>
    </row>
    <row r="51" spans="1:10" s="475" customFormat="true">
      <c r="A51" s="259" t="s">
        <v>1318</v>
      </c>
      <c r="B51" s="259" t="s">
        <v>1372</v>
      </c>
      <c r="C51" s="259" t="s">
        <v>1373</v>
      </c>
      <c r="D51" s="259" t="s">
        <v>1374</v>
      </c>
      <c r="E51" s="259" t="s">
        <v>1375</v>
      </c>
      <c r="F51" s="259" t="s">
        <v>99</v>
      </c>
      <c r="G51" s="47" t="s">
        <v>19</v>
      </c>
      <c r="H51" s="47" t="s">
        <v>151</v>
      </c>
      <c r="I51" s="258" t="s">
        <v>1323</v>
      </c>
      <c r="J51" s="258" t="s"/>
    </row>
    <row r="52" spans="1:10" s="475" customFormat="true">
      <c r="A52" s="259" t="s">
        <v>1318</v>
      </c>
      <c r="B52" s="259" t="s">
        <v>1376</v>
      </c>
      <c r="C52" s="259" t="s">
        <v>1377</v>
      </c>
      <c r="D52" s="259" t="s">
        <v>1378</v>
      </c>
      <c r="E52" s="259" t="s">
        <v>1379</v>
      </c>
      <c r="F52" s="259" t="s">
        <v>99</v>
      </c>
      <c r="G52" s="47" t="s">
        <v>19</v>
      </c>
      <c r="H52" s="47" t="s">
        <v>151</v>
      </c>
      <c r="I52" s="258" t="s">
        <v>1323</v>
      </c>
      <c r="J52" s="258" t="s"/>
    </row>
    <row r="53" spans="1:10" s="475" customFormat="true">
      <c r="A53" s="259" t="s">
        <v>1318</v>
      </c>
      <c r="B53" s="259" t="s">
        <v>1380</v>
      </c>
      <c r="C53" s="259" t="s">
        <v>1381</v>
      </c>
      <c r="D53" s="259" t="s">
        <v>1382</v>
      </c>
      <c r="E53" s="259" t="s">
        <v>1383</v>
      </c>
      <c r="F53" s="259" t="s">
        <v>99</v>
      </c>
      <c r="G53" s="47" t="s">
        <v>19</v>
      </c>
      <c r="H53" s="47" t="s">
        <v>151</v>
      </c>
      <c r="I53" s="258" t="s">
        <v>1323</v>
      </c>
      <c r="J53" s="258" t="s"/>
    </row>
    <row r="54" spans="1:10" s="475" customFormat="true">
      <c r="A54" s="259" t="s">
        <v>1318</v>
      </c>
      <c r="B54" s="259" t="s">
        <v>1384</v>
      </c>
      <c r="C54" s="259" t="s">
        <v>1385</v>
      </c>
      <c r="D54" s="259" t="s">
        <v>1386</v>
      </c>
      <c r="E54" s="259" t="s">
        <v>1387</v>
      </c>
      <c r="F54" s="259" t="s">
        <v>99</v>
      </c>
      <c r="G54" s="47" t="s">
        <v>19</v>
      </c>
      <c r="H54" s="47" t="s">
        <v>151</v>
      </c>
      <c r="I54" s="258" t="s">
        <v>1323</v>
      </c>
      <c r="J54" s="258" t="s"/>
    </row>
    <row r="55" spans="1:10" s="475" customFormat="true">
      <c r="A55" s="259" t="s">
        <v>1318</v>
      </c>
      <c r="B55" s="259" t="s">
        <v>1388</v>
      </c>
      <c r="C55" s="259" t="s">
        <v>1389</v>
      </c>
      <c r="D55" s="259" t="s">
        <v>1390</v>
      </c>
      <c r="E55" s="259" t="s">
        <v>1391</v>
      </c>
      <c r="F55" s="259" t="s">
        <v>12</v>
      </c>
      <c r="G55" s="47" t="s">
        <v>19</v>
      </c>
      <c r="H55" s="47" t="s">
        <v>151</v>
      </c>
      <c r="I55" s="258" t="s">
        <v>1323</v>
      </c>
      <c r="J55" s="258" t="s"/>
    </row>
    <row r="56" spans="1:10" s="475" customFormat="true">
      <c r="A56" s="259" t="s">
        <v>1318</v>
      </c>
      <c r="B56" s="259" t="s">
        <v>1392</v>
      </c>
      <c r="C56" s="259" t="s">
        <v>1393</v>
      </c>
      <c r="D56" s="259" t="s">
        <v>1394</v>
      </c>
      <c r="E56" s="259" t="s">
        <v>1395</v>
      </c>
      <c r="F56" s="259" t="s">
        <v>12</v>
      </c>
      <c r="G56" s="47" t="s">
        <v>19</v>
      </c>
      <c r="H56" s="47" t="s">
        <v>151</v>
      </c>
      <c r="I56" s="258" t="s">
        <v>1323</v>
      </c>
      <c r="J56" s="258" t="s"/>
    </row>
    <row r="57" spans="1:10" s="475" customFormat="true">
      <c r="A57" s="259" t="s">
        <v>1318</v>
      </c>
      <c r="B57" s="259" t="s">
        <v>1396</v>
      </c>
      <c r="C57" s="259" t="s">
        <v>1397</v>
      </c>
      <c r="D57" s="259" t="s">
        <v>1398</v>
      </c>
      <c r="E57" s="259" t="s">
        <v>1399</v>
      </c>
      <c r="F57" s="259" t="s">
        <v>12</v>
      </c>
      <c r="G57" s="47" t="s">
        <v>19</v>
      </c>
      <c r="H57" s="47" t="s">
        <v>151</v>
      </c>
      <c r="I57" s="258" t="s">
        <v>1323</v>
      </c>
      <c r="J57" s="258" t="s"/>
    </row>
    <row r="58" spans="1:10" s="475" customFormat="true">
      <c r="A58" s="259" t="s">
        <v>1318</v>
      </c>
      <c r="B58" s="259" t="s">
        <v>1400</v>
      </c>
      <c r="C58" s="259" t="s">
        <v>1401</v>
      </c>
      <c r="D58" s="259" t="s">
        <v>1402</v>
      </c>
      <c r="E58" s="259" t="s">
        <v>1403</v>
      </c>
      <c r="F58" s="259" t="s">
        <v>12</v>
      </c>
      <c r="G58" s="47" t="s">
        <v>19</v>
      </c>
      <c r="H58" s="47" t="s">
        <v>151</v>
      </c>
      <c r="I58" s="258" t="s">
        <v>1323</v>
      </c>
      <c r="J58" s="258" t="s"/>
    </row>
    <row r="59" spans="1:10" s="475" customFormat="true">
      <c r="A59" s="259" t="s">
        <v>1318</v>
      </c>
      <c r="B59" s="259" t="s">
        <v>1404</v>
      </c>
      <c r="C59" s="259" t="s">
        <v>1405</v>
      </c>
      <c r="D59" s="259" t="s">
        <v>1406</v>
      </c>
      <c r="E59" s="259" t="s">
        <v>1407</v>
      </c>
      <c r="F59" s="259" t="s">
        <v>12</v>
      </c>
      <c r="G59" s="47" t="s">
        <v>19</v>
      </c>
      <c r="H59" s="47" t="s">
        <v>151</v>
      </c>
      <c r="I59" s="258" t="s">
        <v>1323</v>
      </c>
      <c r="J59" s="258" t="s"/>
    </row>
    <row r="60" spans="1:10" s="475" customFormat="true">
      <c r="A60" s="259" t="s">
        <v>1318</v>
      </c>
      <c r="B60" s="259" t="s">
        <v>1408</v>
      </c>
      <c r="C60" s="259" t="s">
        <v>1409</v>
      </c>
      <c r="D60" s="259" t="s">
        <v>1410</v>
      </c>
      <c r="E60" s="259" t="s">
        <v>1411</v>
      </c>
      <c r="F60" s="259" t="s">
        <v>12</v>
      </c>
      <c r="G60" s="47" t="s">
        <v>19</v>
      </c>
      <c r="H60" s="47" t="s">
        <v>151</v>
      </c>
      <c r="I60" s="258" t="s">
        <v>1323</v>
      </c>
      <c r="J60" s="258" t="s"/>
    </row>
    <row r="61" spans="1:24"/>
    <row r="62" spans="1:24"/>
    <row r="63" spans="1:24"/>
    <row r="64" spans="1:24"/>
    <row r="65" spans="1:24"/>
    <row r="66" spans="1:24"/>
    <row r="67" spans="1:24"/>
    <row r="68" spans="1:24"/>
    <row r="69" spans="1:24"/>
    <row r="70" spans="1:24"/>
    <row r="71" spans="1:24"/>
    <row r="72" spans="1:24"/>
    <row r="73" spans="1:24"/>
    <row r="74" spans="1:24"/>
    <row r="75" spans="1:24"/>
    <row r="76" spans="1:24"/>
    <row r="77" spans="1:24"/>
    <row r="78" spans="1:24"/>
    <row r="79" spans="1:24"/>
    <row r="80" spans="1:24"/>
    <row r="81" spans="1:24"/>
    <row r="82" spans="1:24"/>
    <row r="83" spans="1:24"/>
    <row r="84" spans="1:24"/>
    <row r="85" spans="1:24"/>
    <row r="86" spans="1:24"/>
    <row r="87" spans="1:24"/>
    <row r="88" spans="1:24"/>
    <row r="89" spans="1:24"/>
    <row r="90" spans="1:24"/>
    <row r="91" spans="1:24"/>
    <row r="92" spans="1:24"/>
    <row r="93" spans="1:24"/>
    <row r="94" spans="1:24"/>
    <row r="95" spans="1:24"/>
    <row r="96" spans="1:24"/>
    <row r="97" spans="1:24"/>
    <row r="98" spans="1:24"/>
    <row r="99" spans="1:24"/>
    <row r="100" spans="1:24"/>
    <row r="101" spans="1:24"/>
    <row r="102" spans="1:24"/>
    <row r="103" spans="1:24"/>
    <row r="104" spans="1:24"/>
    <row r="105" spans="1:24"/>
    <row r="106" spans="1:24"/>
    <row r="107" spans="1:24"/>
    <row r="108" spans="1:24"/>
    <row r="109" spans="1:24"/>
    <row r="110" spans="1:24"/>
    <row r="111" spans="1:24"/>
    <row r="112" spans="1:24"/>
    <row r="113" spans="1:24"/>
    <row r="114" spans="1:24"/>
    <row r="115" spans="1:24"/>
    <row r="116" spans="1:24"/>
    <row r="117" spans="1:24"/>
    <row r="118" spans="1:24"/>
    <row r="119" spans="1:24"/>
    <row r="120" spans="1:24"/>
    <row r="121" spans="1:24"/>
    <row r="122" spans="1:24"/>
    <row r="123" spans="1:24"/>
    <row r="124" spans="1:24"/>
    <row r="125" spans="1:24"/>
    <row r="126" spans="1:24"/>
    <row r="127" spans="1:24"/>
    <row r="128" spans="1:24"/>
    <row r="129" spans="1:24"/>
    <row r="130" spans="1:24"/>
    <row r="131" spans="1:24"/>
    <row r="132" spans="1:24"/>
    <row r="133" spans="1:24"/>
    <row r="134" spans="1:24"/>
    <row r="135" spans="1:24"/>
    <row r="136" spans="1:24"/>
    <row r="137" spans="1:24"/>
    <row r="138" spans="1:24"/>
    <row r="139" spans="1:24"/>
    <row r="140" spans="1:24"/>
    <row r="141" spans="1:24"/>
    <row r="142" spans="1:24"/>
    <row r="143" spans="1:24"/>
    <row r="144" spans="1:24"/>
    <row r="145" spans="1:24"/>
    <row r="146" spans="1:24"/>
    <row r="147" spans="1:24"/>
    <row r="148" spans="1:24"/>
    <row r="149" spans="1:24"/>
    <row r="150" spans="1:24"/>
    <row r="151" spans="1:24"/>
    <row r="152" spans="1:24"/>
    <row r="153" spans="1:24"/>
    <row r="154" spans="1:24"/>
    <row r="155" spans="1:24"/>
    <row r="156" spans="1:24"/>
    <row r="157" spans="1:24"/>
    <row r="158" spans="1:24"/>
    <row r="159" spans="1:24"/>
    <row r="160" spans="1:24"/>
    <row r="161" spans="1:24"/>
    <row r="162" spans="1:24"/>
    <row r="163" spans="1:24"/>
    <row r="164" spans="1:24"/>
    <row r="165" spans="1:24"/>
    <row r="166" spans="1:24"/>
    <row r="167" spans="1:24"/>
    <row r="168" spans="1:24"/>
    <row r="169" spans="1:24"/>
    <row r="170" spans="1:24"/>
    <row r="171" spans="1:24"/>
    <row r="172" spans="1:24"/>
  </sheetData>
</worksheet>
</file>

<file path=xl/worksheets/sheet26.xml><?xml version="1.0" encoding="utf-8"?>
<worksheet xmlns="http://schemas.openxmlformats.org/spreadsheetml/2006/main">
  <sheetPr codeName="wafer">
    <tabColor/>
  </sheetPr>
  <dimension ref="K27"/>
  <sheetViews>
    <sheetView showGridLines="true" workbookViewId="0"/>
  </sheetViews>
  <sheetFormatPr baseColWidth="13" defaultRowHeight="18" customHeight="true"/>
  <cols>
    <col min="1" max="2" width="21.9844" customWidth="true"/>
    <col min="3" max="3" width="33.4531" customWidth="true"/>
    <col min="4" max="4" width="11.332" customWidth="true"/>
    <col min="5" max="5" width="22.2539" customWidth="true"/>
    <col min="6" max="6" width="25.4922" customWidth="true"/>
    <col min="9" max="9" width="31.6914" customWidth="true"/>
    <col min="10" max="10" width="29.1328" customWidth="true"/>
    <col min="11" max="11" width="32.7734" customWidth="true"/>
  </cols>
  <sheetData>
    <row r="1" spans="1:10">
      <c r="A1" s="4" t="s">
        <v>1</v>
      </c>
      <c r="B1" s="4" t="s">
        <v>2</v>
      </c>
      <c r="C1" s="4" t="s">
        <v>3</v>
      </c>
      <c r="D1" s="4" t="s">
        <v>273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J1" s="4" t="s">
        <v>8</v>
      </c>
    </row>
    <row r="2" spans="1:11">
      <c r="A2" s="44" t="s"/>
      <c r="B2" s="44" t="s"/>
      <c r="C2" s="45" t="s"/>
      <c r="D2" s="44" t="s"/>
      <c r="E2" s="44" t="s">
        <v>274</v>
      </c>
      <c r="F2" s="44" t="s">
        <v>275</v>
      </c>
      <c r="G2" s="44" t="s">
        <v>12</v>
      </c>
      <c r="H2" s="46" t="s">
        <v>13</v>
      </c>
      <c r="I2" s="46" t="s">
        <v>236</v>
      </c>
      <c r="J2" s="46" t="s"/>
      <c r="K2" t="s">
        <f>=_xlfn.CONCAT(B2," AS `",F2,"#v1`,")</f>
        <v>276</v>
      </c>
    </row>
    <row r="3" spans="1:11">
      <c r="A3" s="44" t="s"/>
      <c r="B3" s="44" t="s">
        <v>277</v>
      </c>
      <c r="C3" s="45" t="s"/>
      <c r="D3" s="46" t="s"/>
      <c r="E3" s="47" t="s">
        <v>278</v>
      </c>
      <c r="F3" s="48" t="s">
        <v>279</v>
      </c>
      <c r="G3" s="47" t="s">
        <v>12</v>
      </c>
      <c r="H3" s="46" t="s">
        <v>13</v>
      </c>
      <c r="I3" s="46" t="s"/>
      <c r="J3" s="46" t="s">
        <v>147</v>
      </c>
      <c r="K3" t="s">
        <f>=_xlfn.CONCAT(B3," AS `",F3,"#v1`,")</f>
        <v>280</v>
      </c>
    </row>
    <row r="4" spans="1:11">
      <c r="A4" s="44" t="s"/>
      <c r="B4" s="44" t="s">
        <v>281</v>
      </c>
      <c r="C4" s="45" t="s"/>
      <c r="D4" s="46" t="s"/>
      <c r="E4" s="48" t="s">
        <v>38</v>
      </c>
      <c r="F4" s="48" t="s">
        <v>39</v>
      </c>
      <c r="G4" s="47" t="s">
        <v>12</v>
      </c>
      <c r="H4" s="46" t="s">
        <v>13</v>
      </c>
      <c r="I4" s="46" t="s"/>
      <c r="J4" s="46" t="s">
        <v>147</v>
      </c>
      <c r="K4" t="s">
        <f>=_xlfn.CONCAT(B4," AS `",F4,"#v1`,")</f>
        <v>282</v>
      </c>
    </row>
    <row r="5" spans="1:11">
      <c r="A5" s="44" t="s"/>
      <c r="B5" s="44" t="s">
        <v>283</v>
      </c>
      <c r="C5" s="45" t="s"/>
      <c r="D5" s="46" t="s"/>
      <c r="E5" s="46" t="s">
        <v>284</v>
      </c>
      <c r="F5" s="46" t="s">
        <v>285</v>
      </c>
      <c r="G5" s="47" t="s">
        <v>12</v>
      </c>
      <c r="H5" s="46" t="s">
        <v>13</v>
      </c>
      <c r="I5" s="46" t="s"/>
      <c r="J5" s="46" t="s">
        <v>147</v>
      </c>
      <c r="K5" t="s">
        <f>=_xlfn.CONCAT(B5," AS `",F5,"#v1`,")</f>
        <v>286</v>
      </c>
    </row>
    <row r="6" spans="1:11">
      <c r="A6" s="44" t="s"/>
      <c r="B6" s="44" t="s">
        <v>287</v>
      </c>
      <c r="C6" s="45" t="s"/>
      <c r="D6" s="46" t="s"/>
      <c r="E6" s="46" t="s">
        <v>288</v>
      </c>
      <c r="F6" s="49" t="s">
        <v>289</v>
      </c>
      <c r="G6" s="47" t="s">
        <v>12</v>
      </c>
      <c r="H6" s="46" t="s">
        <v>13</v>
      </c>
      <c r="I6" s="46" t="s"/>
      <c r="J6" s="46" t="s">
        <v>147</v>
      </c>
      <c r="K6" t="s">
        <f>=_xlfn.CONCAT(B6," AS `",F6,"#v1`,")</f>
        <v>290</v>
      </c>
    </row>
    <row r="7" spans="1:11">
      <c r="A7" s="44" t="s"/>
      <c r="B7" s="44" t="s">
        <v>291</v>
      </c>
      <c r="C7" s="45" t="s"/>
      <c r="D7" s="46" t="s"/>
      <c r="E7" s="44" t="s">
        <v>292</v>
      </c>
      <c r="F7" s="44" t="s">
        <v>236</v>
      </c>
      <c r="G7" s="47" t="s">
        <v>12</v>
      </c>
      <c r="H7" s="46" t="s">
        <v>13</v>
      </c>
      <c r="I7" s="45" t="s"/>
      <c r="J7" s="46" t="s">
        <v>147</v>
      </c>
      <c r="K7" t="s">
        <f>=_xlfn.CONCAT(B7," AS `",F7,"#v1`,")</f>
        <v>293</v>
      </c>
    </row>
    <row r="8" spans="1:11">
      <c r="A8" s="44" t="s"/>
      <c r="B8" s="44" t="s">
        <v>294</v>
      </c>
      <c r="C8" s="44" t="s">
        <v>295</v>
      </c>
      <c r="D8" s="46" t="s"/>
      <c r="E8" s="46" t="s">
        <v>296</v>
      </c>
      <c r="F8" s="44" t="s">
        <v>297</v>
      </c>
      <c r="G8" s="47" t="s">
        <v>12</v>
      </c>
      <c r="H8" s="46" t="s">
        <v>13</v>
      </c>
      <c r="I8" s="46" t="s"/>
      <c r="J8" s="46" t="s">
        <v>147</v>
      </c>
      <c r="K8" t="s">
        <f>=_xlfn.CONCAT(B8," AS `",F8,"#v1`,")</f>
        <v>298</v>
      </c>
    </row>
    <row r="9" spans="1:11">
      <c r="A9" s="44" t="s"/>
      <c r="B9" s="44" t="s">
        <v>299</v>
      </c>
      <c r="C9" s="44" t="s"/>
      <c r="D9" s="46" t="s"/>
      <c r="E9" s="46" t="s">
        <v>300</v>
      </c>
      <c r="F9" s="46" t="s">
        <v>301</v>
      </c>
      <c r="G9" s="47" t="s">
        <v>12</v>
      </c>
      <c r="H9" s="46" t="s">
        <v>13</v>
      </c>
      <c r="I9" s="46" t="s"/>
      <c r="J9" s="46" t="s">
        <v>147</v>
      </c>
      <c r="K9" t="s">
        <f>=_xlfn.CONCAT(B9," AS `",F9,"#v1`,")</f>
        <v>302</v>
      </c>
    </row>
    <row r="10" spans="1:11">
      <c r="A10" s="44" t="s"/>
      <c r="B10" s="44" t="s">
        <v>303</v>
      </c>
      <c r="C10" s="44" t="s">
        <v>304</v>
      </c>
      <c r="D10" s="46" t="s"/>
      <c r="E10" s="46" t="s">
        <v>305</v>
      </c>
      <c r="F10" s="46" t="s">
        <v>306</v>
      </c>
      <c r="G10" s="50" t="s">
        <v>119</v>
      </c>
      <c r="H10" s="46" t="s">
        <v>13</v>
      </c>
      <c r="I10" s="46" t="s"/>
      <c r="J10" s="46" t="s">
        <v>147</v>
      </c>
      <c r="K10" t="s">
        <f>=_xlfn.CONCAT(B10," AS `",F10,"#v1`,")</f>
        <v>307</v>
      </c>
    </row>
    <row r="11" spans="1:11">
      <c r="A11" s="44" t="s"/>
      <c r="B11" s="44" t="s">
        <v>308</v>
      </c>
      <c r="C11" s="44" t="s">
        <v>309</v>
      </c>
      <c r="D11" s="46" t="s"/>
      <c r="E11" s="44" t="s">
        <v>309</v>
      </c>
      <c r="F11" s="44" t="s">
        <v>310</v>
      </c>
      <c r="G11" s="47" t="s">
        <v>12</v>
      </c>
      <c r="H11" s="46" t="s">
        <v>13</v>
      </c>
      <c r="I11" s="46" t="s"/>
      <c r="J11" s="46" t="s">
        <v>147</v>
      </c>
      <c r="K11" t="s">
        <f>=_xlfn.CONCAT(B11," AS `",F11,"#v1`,")</f>
        <v>311</v>
      </c>
    </row>
    <row r="12" spans="1:11">
      <c r="A12" s="44" t="s"/>
      <c r="B12" s="44" t="s">
        <v>312</v>
      </c>
      <c r="C12" s="44" t="s">
        <v>313</v>
      </c>
      <c r="D12" s="46" t="s"/>
      <c r="E12" s="44" t="s">
        <v>314</v>
      </c>
      <c r="F12" s="44" t="s">
        <v>315</v>
      </c>
      <c r="G12" s="47" t="s">
        <v>12</v>
      </c>
      <c r="H12" s="46" t="s">
        <v>13</v>
      </c>
      <c r="I12" s="46" t="s"/>
      <c r="J12" s="46" t="s">
        <v>147</v>
      </c>
      <c r="K12" t="s">
        <f>=_xlfn.CONCAT(B12," AS `",F12,"#v1`,")</f>
        <v>316</v>
      </c>
    </row>
    <row r="13" spans="1:11">
      <c r="A13" s="44" t="s"/>
      <c r="B13" s="44" t="s">
        <v>317</v>
      </c>
      <c r="C13" s="44" t="s">
        <v>318</v>
      </c>
      <c r="D13" s="46" t="s"/>
      <c r="E13" s="44" t="s">
        <v>319</v>
      </c>
      <c r="F13" s="46" t="s">
        <v>320</v>
      </c>
      <c r="G13" s="46" t="s">
        <v>321</v>
      </c>
      <c r="H13" s="46" t="s">
        <v>13</v>
      </c>
      <c r="I13" s="46" t="s"/>
      <c r="J13" s="46" t="s">
        <v>147</v>
      </c>
      <c r="K13" t="s">
        <f>=_xlfn.CONCAT(B13," AS `",F13,"#v1`,")</f>
        <v>322</v>
      </c>
    </row>
    <row r="14" spans="1:11">
      <c r="A14" s="46" t="s"/>
      <c r="B14" s="46" t="s"/>
      <c r="C14" s="46" t="s"/>
      <c r="D14" s="46" t="s"/>
      <c r="E14" s="47" t="s">
        <v>323</v>
      </c>
      <c r="F14" s="46" t="s">
        <v>324</v>
      </c>
      <c r="G14" s="44" t="s">
        <v>12</v>
      </c>
      <c r="H14" s="48" t="s">
        <v>13</v>
      </c>
      <c r="I14" s="46" t="s">
        <v>149</v>
      </c>
      <c r="J14" s="46" t="s">
        <v>147</v>
      </c>
      <c r="K14" t="s">
        <f>=_xlfn.CONCAT(B14," AS `",F14,"#v1`,")</f>
        <v>325</v>
      </c>
    </row>
    <row r="15" spans="1:10">
      <c r="A15" s="46" t="s"/>
      <c r="B15" s="46" t="s"/>
      <c r="C15" s="46" t="s"/>
      <c r="D15" s="46" t="s"/>
      <c r="E15" s="46" t="s"/>
      <c r="F15" s="46" t="s"/>
      <c r="G15" s="46" t="s"/>
      <c r="H15" s="46" t="s"/>
      <c r="I15" s="46" t="s"/>
      <c r="J15" s="46" t="s"/>
    </row>
    <row r="16" spans="1:11">
      <c r="A16" s="46" t="s"/>
      <c r="B16" s="46" t="s"/>
      <c r="C16" s="46" t="s"/>
      <c r="D16" s="44" t="s"/>
      <c r="E16" s="44" t="s">
        <v>274</v>
      </c>
      <c r="F16" s="44" t="s">
        <v>275</v>
      </c>
      <c r="G16" s="44" t="s">
        <v>12</v>
      </c>
      <c r="H16" s="49" t="s">
        <v>19</v>
      </c>
      <c r="I16" s="46" t="s"/>
      <c r="J16" s="51" t="s">
        <v>150</v>
      </c>
      <c r="K16" t="s">
        <f>=_xlfn.CONCAT(B16," AS `",F16,"#v1`,")</f>
        <v>276</v>
      </c>
    </row>
    <row r="17" spans="1:11">
      <c r="A17" s="46" t="s"/>
      <c r="B17" s="46" t="s"/>
      <c r="C17" s="46" t="s"/>
      <c r="D17" s="44" t="s"/>
      <c r="E17" s="44" t="s">
        <v>22</v>
      </c>
      <c r="F17" s="44" t="s">
        <v>23</v>
      </c>
      <c r="G17" s="44" t="s">
        <v>24</v>
      </c>
      <c r="H17" s="49" t="s">
        <v>19</v>
      </c>
      <c r="I17" s="46" t="s"/>
      <c r="J17" s="51" t="s">
        <v>150</v>
      </c>
      <c r="K17" t="s">
        <f>=_xlfn.CONCAT(B17," AS `",F17,"#v1`,")</f>
        <v>326</v>
      </c>
    </row>
    <row r="18" spans="1:11">
      <c r="A18" s="44" t="s"/>
      <c r="B18" s="44" t="s">
        <v>327</v>
      </c>
      <c r="C18" s="44" t="s">
        <v>328</v>
      </c>
      <c r="D18" s="46" t="s">
        <v>329</v>
      </c>
      <c r="E18" s="46" t="s">
        <v>330</v>
      </c>
      <c r="F18" s="46" t="s">
        <v>331</v>
      </c>
      <c r="G18" s="44" t="s">
        <v>258</v>
      </c>
      <c r="H18" s="49" t="s">
        <v>19</v>
      </c>
      <c r="I18" s="46" t="s"/>
      <c r="J18" s="51" t="s">
        <v>150</v>
      </c>
      <c r="K18" t="s">
        <f>=_xlfn.CONCAT(B18," AS `",F18,"#v1`,")</f>
        <v>332</v>
      </c>
    </row>
    <row r="19" spans="1:11">
      <c r="A19" s="44" t="s"/>
      <c r="B19" s="44" t="s">
        <v>333</v>
      </c>
      <c r="C19" s="44" t="s">
        <v>334</v>
      </c>
      <c r="D19" s="46" t="s">
        <v>329</v>
      </c>
      <c r="E19" s="46" t="s">
        <v>335</v>
      </c>
      <c r="F19" s="46" t="s">
        <v>336</v>
      </c>
      <c r="G19" s="44" t="s">
        <v>258</v>
      </c>
      <c r="H19" s="49" t="s">
        <v>19</v>
      </c>
      <c r="I19" s="46" t="s"/>
      <c r="J19" s="51" t="s">
        <v>150</v>
      </c>
      <c r="K19" t="s">
        <f>=_xlfn.CONCAT(B19," AS `",F19,"#v1`,")</f>
        <v>337</v>
      </c>
    </row>
    <row r="20" spans="1:11">
      <c r="A20" s="44" t="s"/>
      <c r="B20" s="44" t="s">
        <v>338</v>
      </c>
      <c r="C20" s="44" t="s">
        <v>339</v>
      </c>
      <c r="D20" s="46" t="s">
        <v>329</v>
      </c>
      <c r="E20" s="46" t="s">
        <v>340</v>
      </c>
      <c r="F20" s="46" t="s">
        <v>341</v>
      </c>
      <c r="G20" s="44" t="s">
        <v>258</v>
      </c>
      <c r="H20" s="49" t="s">
        <v>19</v>
      </c>
      <c r="I20" s="46" t="s"/>
      <c r="J20" s="51" t="s">
        <v>150</v>
      </c>
      <c r="K20" t="s">
        <f>=_xlfn.CONCAT(B20," AS `",F20,"#v1`,")</f>
        <v>342</v>
      </c>
    </row>
    <row r="21" spans="1:11">
      <c r="A21" s="44" t="s"/>
      <c r="B21" s="44" t="s">
        <v>343</v>
      </c>
      <c r="C21" s="44" t="s">
        <v>344</v>
      </c>
      <c r="D21" s="46" t="s">
        <v>329</v>
      </c>
      <c r="E21" s="46" t="s">
        <v>345</v>
      </c>
      <c r="F21" s="46" t="s">
        <v>346</v>
      </c>
      <c r="G21" s="44" t="s">
        <v>258</v>
      </c>
      <c r="H21" s="49" t="s">
        <v>19</v>
      </c>
      <c r="I21" s="46" t="s"/>
      <c r="J21" s="51" t="s">
        <v>150</v>
      </c>
      <c r="K21" t="s">
        <f>=_xlfn.CONCAT(B21," AS `",F21,"#v1`,")</f>
        <v>347</v>
      </c>
    </row>
    <row r="22" spans="1:11">
      <c r="A22" s="50" t="s"/>
      <c r="B22" s="52" t="s">
        <v>348</v>
      </c>
      <c r="C22" s="53" t="s">
        <v>349</v>
      </c>
      <c r="D22" s="54" t="s">
        <v>329</v>
      </c>
      <c r="E22" s="53" t="s">
        <v>350</v>
      </c>
      <c r="F22" s="54" t="s">
        <v>351</v>
      </c>
      <c r="G22" s="47" t="s">
        <v>258</v>
      </c>
      <c r="H22" s="55" t="s">
        <v>19</v>
      </c>
      <c r="I22" s="56" t="s"/>
      <c r="J22" s="57" t="s">
        <v>150</v>
      </c>
      <c r="K22" t="s">
        <f>=_xlfn.CONCAT(B22," AS `",F22,"#v1`,")</f>
        <v>352</v>
      </c>
    </row>
    <row r="23" spans="1:11">
      <c r="A23" s="50" t="s"/>
      <c r="B23" s="52" t="s">
        <v>353</v>
      </c>
      <c r="C23" s="53" t="s">
        <v>354</v>
      </c>
      <c r="D23" s="54" t="s">
        <v>329</v>
      </c>
      <c r="E23" s="53" t="s">
        <v>355</v>
      </c>
      <c r="F23" s="54" t="s">
        <v>356</v>
      </c>
      <c r="G23" s="47" t="s">
        <v>12</v>
      </c>
      <c r="H23" s="55" t="s">
        <v>19</v>
      </c>
      <c r="I23" s="56" t="s"/>
      <c r="J23" s="57" t="s">
        <v>150</v>
      </c>
      <c r="K23" t="s">
        <f>=_xlfn.CONCAT(B23," AS `",F23,"#v1`,")</f>
        <v>357</v>
      </c>
    </row>
    <row r="24" spans="1:11">
      <c r="A24" s="50" t="s"/>
      <c r="B24" s="50" t="s">
        <v>358</v>
      </c>
      <c r="C24" s="50" t="s">
        <v>359</v>
      </c>
      <c r="D24" s="56" t="s">
        <v>329</v>
      </c>
      <c r="E24" s="56" t="s">
        <v>359</v>
      </c>
      <c r="F24" s="56" t="s">
        <v>360</v>
      </c>
      <c r="G24" s="50" t="s">
        <v>119</v>
      </c>
      <c r="H24" s="55" t="s">
        <v>19</v>
      </c>
      <c r="I24" s="56" t="s"/>
      <c r="J24" s="57" t="s">
        <v>150</v>
      </c>
      <c r="K24" t="s">
        <f>=_xlfn.CONCAT(B24," AS `",F24,"#v1`,")</f>
        <v>361</v>
      </c>
    </row>
    <row r="25" spans="1:11">
      <c r="A25" s="44" t="s"/>
      <c r="B25" s="44" t="s">
        <v>362</v>
      </c>
      <c r="C25" s="58" t="s">
        <v>3224</v>
      </c>
      <c r="D25" s="46" t="s">
        <v>329</v>
      </c>
      <c r="E25" s="46" t="s">
        <v>155</v>
      </c>
      <c r="F25" s="46" t="s">
        <v>363</v>
      </c>
      <c r="G25" s="44" t="s">
        <v>364</v>
      </c>
      <c r="H25" s="49" t="s">
        <v>19</v>
      </c>
      <c r="I25" s="59" t="s">
        <v>365</v>
      </c>
      <c r="J25" s="51" t="s">
        <v>150</v>
      </c>
      <c r="K25" t="s">
        <f>=_xlfn.CONCAT(B25," AS `",F25,"#v1`,")</f>
        <v>366</v>
      </c>
    </row>
    <row r="26" spans="1:11">
      <c r="A26" s="49" t="s"/>
      <c r="B26" s="49" t="s">
        <v>367</v>
      </c>
      <c r="C26" s="59" t="s">
        <v>368</v>
      </c>
      <c r="D26" s="46" t="s">
        <v>329</v>
      </c>
      <c r="E26" s="46" t="s">
        <v>369</v>
      </c>
      <c r="F26" s="46" t="s">
        <v>370</v>
      </c>
      <c r="G26" s="60" t="s">
        <v>12</v>
      </c>
      <c r="H26" s="49" t="s">
        <v>19</v>
      </c>
      <c r="I26" s="46" t="s"/>
      <c r="J26" s="51" t="s">
        <v>150</v>
      </c>
      <c r="K26" t="s">
        <f>=_xlfn.CONCAT(B26," AS `",F26,"#v1`,")</f>
        <v>371</v>
      </c>
    </row>
    <row r="27" spans="1:11">
      <c r="A27" s="44" t="s"/>
      <c r="B27" s="44" t="s">
        <v>372</v>
      </c>
      <c r="C27" s="59" t="s">
        <v>373</v>
      </c>
      <c r="D27" s="46" t="s">
        <v>329</v>
      </c>
      <c r="E27" s="46" t="s">
        <v>374</v>
      </c>
      <c r="F27" s="46" t="s">
        <v>375</v>
      </c>
      <c r="G27" s="44" t="s">
        <v>364</v>
      </c>
      <c r="H27" s="49" t="s">
        <v>19</v>
      </c>
      <c r="I27" s="46" t="s"/>
      <c r="J27" s="51" t="s">
        <v>150</v>
      </c>
      <c r="K27" t="s">
        <f>=_xlfn.CONCAT(B27," AS `",F27,"#v1`,")</f>
        <v>376</v>
      </c>
    </row>
  </sheetData>
</worksheet>
</file>

<file path=xl/worksheets/sheet27.xml><?xml version="1.0" encoding="utf-8"?>
<worksheet xmlns="http://schemas.openxmlformats.org/spreadsheetml/2006/main">
  <sheetPr codeName="pm detail">
    <tabColor rgb="FF92D050"/>
  </sheetPr>
  <dimension ref="J14"/>
  <sheetViews>
    <sheetView showGridLines="true" workbookViewId="0"/>
  </sheetViews>
  <sheetFormatPr baseColWidth="13" defaultRowHeight="18" customHeight="true"/>
  <cols>
    <col min="1" max="1" width="29.6719" customWidth="true"/>
    <col min="2" max="2" width="28.5938" customWidth="true"/>
    <col min="3" max="3" width="19.8242" customWidth="true"/>
    <col min="4" max="4" width="25.8906" customWidth="true"/>
    <col min="5" max="5" width="23.5039" customWidth="true"/>
    <col min="8" max="8" width="32.7734" customWidth="true"/>
    <col min="10" max="10" width="40.5117" customWidth="true"/>
    <col min="11" max="11" width="61.7109" customWidth="true"/>
    <col min="12" max="12" width="56.7109" customWidth="true"/>
  </cols>
  <sheetData>
    <row r="1" spans="1:10">
      <c r="A1" s="7" t="s">
        <v>1</v>
      </c>
      <c r="B1" s="7" t="s">
        <v>2</v>
      </c>
      <c r="C1" s="7" t="s">
        <v>202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/>
    </row>
    <row r="2" spans="1:10">
      <c r="A2" s="47" t="s"/>
      <c r="B2" s="47" t="s"/>
      <c r="C2" s="47" t="s"/>
      <c r="D2" s="47" t="s">
        <v>564</v>
      </c>
      <c r="E2" s="47" t="s">
        <v>11</v>
      </c>
      <c r="F2" s="47" t="s">
        <v>12</v>
      </c>
      <c r="G2" s="80" t="s">
        <v>19</v>
      </c>
      <c r="H2" s="47" t="s">
        <v>565</v>
      </c>
      <c r="I2" s="47" t="s">
        <v>566</v>
      </c>
      <c r="J2" s="47" t="s"/>
    </row>
    <row r="3" spans="1:10">
      <c r="A3" s="47" t="s">
        <v>133</v>
      </c>
      <c r="B3" s="47" t="s">
        <v>567</v>
      </c>
      <c r="C3" s="47" t="s"/>
      <c r="D3" s="47" t="s">
        <v>568</v>
      </c>
      <c r="E3" s="47" t="s">
        <v>569</v>
      </c>
      <c r="F3" s="47" t="s">
        <v>12</v>
      </c>
      <c r="G3" s="80" t="s">
        <v>19</v>
      </c>
      <c r="H3" s="47" t="s">
        <v>565</v>
      </c>
      <c r="I3" s="47" t="s">
        <v>566</v>
      </c>
      <c r="J3" s="47" t="s"/>
    </row>
    <row r="4" spans="1:10">
      <c r="A4" s="47" t="s">
        <v>133</v>
      </c>
      <c r="B4" s="81" t="s">
        <v>420</v>
      </c>
      <c r="C4" s="47" t="s"/>
      <c r="D4" s="47" t="s">
        <v>570</v>
      </c>
      <c r="E4" s="81" t="s">
        <v>420</v>
      </c>
      <c r="F4" s="47" t="s">
        <v>12</v>
      </c>
      <c r="G4" s="47" t="s">
        <v>19</v>
      </c>
      <c r="H4" s="47" t="s">
        <v>565</v>
      </c>
      <c r="I4" s="47" t="s">
        <v>566</v>
      </c>
      <c r="J4" s="47" t="s">
        <v>571</v>
      </c>
    </row>
    <row r="5" spans="1:10">
      <c r="A5" s="47" t="s">
        <v>133</v>
      </c>
      <c r="B5" s="47" t="s">
        <v>572</v>
      </c>
      <c r="C5" s="47" t="s"/>
      <c r="D5" s="47" t="s">
        <v>573</v>
      </c>
      <c r="E5" s="47" t="s">
        <v>574</v>
      </c>
      <c r="F5" s="47" t="s">
        <v>12</v>
      </c>
      <c r="G5" s="47" t="s">
        <v>19</v>
      </c>
      <c r="H5" s="47" t="s">
        <v>565</v>
      </c>
      <c r="I5" s="47" t="s">
        <v>566</v>
      </c>
      <c r="J5" s="47" t="s"/>
    </row>
    <row r="6" spans="1:10">
      <c r="A6" s="47" t="s">
        <v>133</v>
      </c>
      <c r="B6" s="47" t="s">
        <v>575</v>
      </c>
      <c r="C6" s="47" t="s"/>
      <c r="D6" s="47" t="s">
        <v>576</v>
      </c>
      <c r="E6" s="47" t="s">
        <v>577</v>
      </c>
      <c r="F6" s="47" t="s">
        <v>12</v>
      </c>
      <c r="G6" s="47" t="s">
        <v>19</v>
      </c>
      <c r="H6" s="47" t="s">
        <v>565</v>
      </c>
      <c r="I6" s="47" t="s">
        <v>566</v>
      </c>
      <c r="J6" s="47" t="s"/>
    </row>
    <row r="7" spans="1:10">
      <c r="A7" s="47" t="s">
        <v>133</v>
      </c>
      <c r="B7" s="47" t="s">
        <v>578</v>
      </c>
      <c r="C7" s="47" t="s"/>
      <c r="D7" s="47" t="s">
        <v>579</v>
      </c>
      <c r="E7" s="47" t="s">
        <v>580</v>
      </c>
      <c r="F7" s="47" t="s">
        <v>12</v>
      </c>
      <c r="G7" s="47" t="s">
        <v>19</v>
      </c>
      <c r="H7" s="47" t="s">
        <v>565</v>
      </c>
      <c r="I7" s="47" t="s">
        <v>566</v>
      </c>
      <c r="J7" s="47" t="s"/>
    </row>
    <row r="8" spans="1:10">
      <c r="A8" s="47" t="s">
        <v>133</v>
      </c>
      <c r="B8" s="47" t="s">
        <v>581</v>
      </c>
      <c r="C8" s="47" t="s"/>
      <c r="D8" s="47" t="s">
        <v>582</v>
      </c>
      <c r="E8" s="47" t="s">
        <v>583</v>
      </c>
      <c r="F8" s="47" t="s">
        <v>12</v>
      </c>
      <c r="G8" s="47" t="s">
        <v>19</v>
      </c>
      <c r="H8" s="47" t="s">
        <v>565</v>
      </c>
      <c r="I8" s="47" t="s">
        <v>566</v>
      </c>
      <c r="J8" s="47" t="s"/>
    </row>
    <row r="9" spans="1:10">
      <c r="A9" s="47" t="s">
        <v>133</v>
      </c>
      <c r="B9" s="47" t="s">
        <v>584</v>
      </c>
      <c r="C9" s="47" t="s"/>
      <c r="D9" s="47" t="s">
        <v>585</v>
      </c>
      <c r="E9" s="47" t="s">
        <v>586</v>
      </c>
      <c r="F9" s="47" t="s">
        <v>119</v>
      </c>
      <c r="G9" s="47" t="s">
        <v>19</v>
      </c>
      <c r="H9" s="47" t="s">
        <v>565</v>
      </c>
      <c r="I9" s="47" t="s">
        <v>566</v>
      </c>
      <c r="J9" s="47" t="s"/>
    </row>
    <row r="10" spans="1:10">
      <c r="A10" s="47" t="s">
        <v>133</v>
      </c>
      <c r="B10" s="47" t="s">
        <v>587</v>
      </c>
      <c r="C10" s="47" t="s"/>
      <c r="D10" s="47" t="s">
        <v>588</v>
      </c>
      <c r="E10" s="47" t="s">
        <v>589</v>
      </c>
      <c r="F10" s="47" t="s">
        <v>119</v>
      </c>
      <c r="G10" s="47" t="s">
        <v>19</v>
      </c>
      <c r="H10" s="47" t="s">
        <v>565</v>
      </c>
      <c r="I10" s="47" t="s">
        <v>566</v>
      </c>
      <c r="J10" s="47" t="s"/>
    </row>
    <row r="11" spans="1:10">
      <c r="A11" s="47" t="s">
        <v>133</v>
      </c>
      <c r="B11" s="47" t="s">
        <v>590</v>
      </c>
      <c r="C11" s="47" t="s"/>
      <c r="D11" s="47" t="s">
        <v>591</v>
      </c>
      <c r="E11" s="47" t="s">
        <v>592</v>
      </c>
      <c r="F11" s="47" t="s">
        <v>99</v>
      </c>
      <c r="G11" s="47" t="s">
        <v>19</v>
      </c>
      <c r="H11" s="47" t="s">
        <v>565</v>
      </c>
      <c r="I11" s="47" t="s">
        <v>566</v>
      </c>
      <c r="J11" s="47" t="s"/>
    </row>
    <row r="12" spans="1:10">
      <c r="A12" s="47" t="s">
        <v>133</v>
      </c>
      <c r="B12" s="47" t="s">
        <v>593</v>
      </c>
      <c r="C12" s="47" t="s"/>
      <c r="D12" s="47" t="s">
        <v>594</v>
      </c>
      <c r="E12" s="47" t="s">
        <v>595</v>
      </c>
      <c r="F12" s="47" t="s">
        <v>119</v>
      </c>
      <c r="G12" s="47" t="s">
        <v>19</v>
      </c>
      <c r="H12" s="47" t="s">
        <v>565</v>
      </c>
      <c r="I12" s="47" t="s">
        <v>566</v>
      </c>
      <c r="J12" s="47" t="s"/>
    </row>
    <row r="13" spans="1:10">
      <c r="A13" s="47" t="s">
        <v>133</v>
      </c>
      <c r="B13" s="47" t="s">
        <v>596</v>
      </c>
      <c r="C13" s="47" t="s"/>
      <c r="D13" s="47" t="s">
        <v>597</v>
      </c>
      <c r="E13" s="47" t="s">
        <v>598</v>
      </c>
      <c r="F13" s="47" t="s">
        <v>12</v>
      </c>
      <c r="G13" s="47" t="s">
        <v>19</v>
      </c>
      <c r="H13" s="47" t="s">
        <v>565</v>
      </c>
      <c r="I13" s="47" t="s">
        <v>566</v>
      </c>
      <c r="J13" s="47" t="s"/>
    </row>
    <row r="14" spans="1:10">
      <c r="A14" s="47" t="s"/>
      <c r="B14" s="80" t="s"/>
      <c r="C14" s="47" t="s">
        <v>22</v>
      </c>
      <c r="D14" s="47" t="s">
        <v>22</v>
      </c>
      <c r="E14" s="80" t="s">
        <v>23</v>
      </c>
      <c r="F14" s="80" t="s">
        <v>24</v>
      </c>
      <c r="G14" s="80" t="s">
        <v>19</v>
      </c>
      <c r="H14" s="47" t="s">
        <v>565</v>
      </c>
      <c r="I14" s="47" t="s">
        <v>566</v>
      </c>
      <c r="J14" s="47" t="s"/>
    </row>
  </sheetData>
</worksheet>
</file>

<file path=xl/worksheets/sheet28.xml><?xml version="1.0" encoding="utf-8"?>
<worksheet xmlns="http://schemas.openxmlformats.org/spreadsheetml/2006/main">
  <sheetPr codeName="eqp detail">
    <tabColor rgb="FFD8D8D8"/>
  </sheetPr>
  <dimension ref="J25"/>
  <sheetViews>
    <sheetView showGridLines="true" workbookViewId="0"/>
  </sheetViews>
  <sheetFormatPr baseColWidth="13" defaultRowHeight="18" customHeight="true"/>
  <cols>
    <col min="1" max="1" width="22.8008" customWidth="true"/>
    <col min="2" max="2" width="18.0039" customWidth="true"/>
    <col min="3" max="3" width="13.8008" customWidth="true"/>
    <col min="4" max="4" width="17.3906" customWidth="true"/>
    <col min="5" max="5" width="16.7031" customWidth="true"/>
    <col min="6" max="6" width="12.4023" customWidth="true"/>
    <col min="7" max="7" width="10.2031" customWidth="true"/>
    <col min="8" max="8" width="43.293" customWidth="true"/>
    <col min="9" max="9" width="85.2539" hidden="true" customWidth="true"/>
  </cols>
  <sheetData>
    <row r="1" spans="1:9">
      <c r="A1" s="418" t="s">
        <v>1</v>
      </c>
      <c r="B1" s="418" t="s">
        <v>2</v>
      </c>
      <c r="C1" s="418" t="s">
        <v>202</v>
      </c>
      <c r="D1" s="418" t="s">
        <v>4</v>
      </c>
      <c r="E1" s="418" t="s">
        <v>5</v>
      </c>
      <c r="F1" s="418" t="s">
        <v>6</v>
      </c>
      <c r="G1" s="418" t="s">
        <v>7</v>
      </c>
      <c r="H1" s="418" t="s">
        <v>8</v>
      </c>
      <c r="I1" s="418" t="s">
        <v>2907</v>
      </c>
    </row>
    <row r="2" spans="1:10">
      <c r="A2" s="419" t="s"/>
      <c r="B2" s="420" t="s">
        <v>217</v>
      </c>
      <c r="C2" s="420" t="s">
        <v>215</v>
      </c>
      <c r="D2" s="420" t="s">
        <v>10</v>
      </c>
      <c r="E2" s="420" t="s">
        <v>11</v>
      </c>
      <c r="F2" s="420" t="s">
        <v>12</v>
      </c>
      <c r="G2" s="420" t="s">
        <v>19</v>
      </c>
      <c r="H2" s="420" t="s">
        <v>2908</v>
      </c>
      <c r="I2" s="420" t="s">
        <v>2909</v>
      </c>
      <c r="J2" s="267" t="s">
        <v>2910</v>
      </c>
    </row>
    <row r="3" spans="1:10">
      <c r="A3" s="421" t="s">
        <v>2911</v>
      </c>
      <c r="B3" s="420" t="s">
        <v>2912</v>
      </c>
      <c r="C3" s="420" t="s">
        <v>2913</v>
      </c>
      <c r="D3" s="420" t="s">
        <v>28</v>
      </c>
      <c r="E3" s="420" t="s">
        <v>29</v>
      </c>
      <c r="F3" s="420" t="s">
        <v>12</v>
      </c>
      <c r="G3" s="420" t="s">
        <v>19</v>
      </c>
      <c r="H3" s="420" t="s">
        <v>2908</v>
      </c>
      <c r="I3" s="420" t="s">
        <v>2914</v>
      </c>
      <c r="J3" s="267" t="s">
        <v>2910</v>
      </c>
    </row>
    <row r="4" spans="1:10">
      <c r="A4" s="419" t="s"/>
      <c r="B4" s="420" t="s">
        <v>2915</v>
      </c>
      <c r="C4" s="420" t="s">
        <v>2916</v>
      </c>
      <c r="D4" s="420" t="s">
        <v>2729</v>
      </c>
      <c r="E4" s="420" t="s">
        <v>420</v>
      </c>
      <c r="F4" s="420" t="s">
        <v>12</v>
      </c>
      <c r="G4" s="420" t="s">
        <v>19</v>
      </c>
      <c r="H4" s="420" t="s">
        <v>2908</v>
      </c>
      <c r="I4" s="420" t="s">
        <v>2917</v>
      </c>
      <c r="J4" s="267" t="s">
        <v>2910</v>
      </c>
    </row>
    <row r="5" spans="1:10">
      <c r="A5" s="419" t="s"/>
      <c r="B5" s="420" t="s">
        <v>2818</v>
      </c>
      <c r="C5" s="420" t="s">
        <v>2918</v>
      </c>
      <c r="D5" s="420" t="s">
        <v>1242</v>
      </c>
      <c r="E5" s="420" t="s">
        <v>2818</v>
      </c>
      <c r="F5" s="420" t="s">
        <v>12</v>
      </c>
      <c r="G5" s="420" t="s">
        <v>19</v>
      </c>
      <c r="H5" s="420" t="s">
        <v>2908</v>
      </c>
      <c r="I5" s="420" t="s">
        <v>2919</v>
      </c>
      <c r="J5" s="267" t="s">
        <v>2910</v>
      </c>
    </row>
    <row r="6" spans="1:10">
      <c r="A6" s="419" t="s"/>
      <c r="B6" s="420" t="s">
        <v>2805</v>
      </c>
      <c r="C6" s="420" t="s">
        <v>2920</v>
      </c>
      <c r="D6" s="420" t="s">
        <v>2804</v>
      </c>
      <c r="E6" s="420" t="s">
        <v>2805</v>
      </c>
      <c r="F6" s="420" t="s">
        <v>12</v>
      </c>
      <c r="G6" s="420" t="s">
        <v>19</v>
      </c>
      <c r="H6" s="420" t="s">
        <v>2908</v>
      </c>
      <c r="I6" s="420" t="s">
        <v>2921</v>
      </c>
      <c r="J6" s="267" t="s">
        <v>2910</v>
      </c>
    </row>
    <row r="7" spans="1:10">
      <c r="A7" s="419" t="s"/>
      <c r="B7" s="420" t="s">
        <v>2922</v>
      </c>
      <c r="C7" s="420" t="s">
        <v>2923</v>
      </c>
      <c r="D7" s="420" t="s">
        <v>2924</v>
      </c>
      <c r="E7" s="421" t="s">
        <v>2922</v>
      </c>
      <c r="F7" s="420" t="s">
        <v>12</v>
      </c>
      <c r="G7" s="420" t="s">
        <v>19</v>
      </c>
      <c r="H7" s="420" t="s">
        <v>2908</v>
      </c>
      <c r="I7" s="420" t="s">
        <v>2925</v>
      </c>
      <c r="J7" s="267" t="s">
        <v>2910</v>
      </c>
    </row>
    <row r="8" spans="1:10">
      <c r="A8" s="419" t="s"/>
      <c r="B8" s="420" t="s">
        <v>2926</v>
      </c>
      <c r="C8" s="420" t="s">
        <v>2927</v>
      </c>
      <c r="D8" s="420" t="s">
        <v>2928</v>
      </c>
      <c r="E8" s="420" t="s">
        <v>2926</v>
      </c>
      <c r="F8" s="420" t="s">
        <v>12</v>
      </c>
      <c r="G8" s="420" t="s">
        <v>19</v>
      </c>
      <c r="H8" s="420" t="s">
        <v>2908</v>
      </c>
      <c r="I8" s="420" t="s">
        <v>2929</v>
      </c>
      <c r="J8" s="267" t="s">
        <v>2910</v>
      </c>
    </row>
    <row r="9" spans="1:10">
      <c r="A9" s="419" t="s"/>
      <c r="B9" s="420" t="s">
        <v>2930</v>
      </c>
      <c r="C9" s="420" t="s">
        <v>2931</v>
      </c>
      <c r="D9" s="420" t="s">
        <v>2931</v>
      </c>
      <c r="E9" s="420" t="s">
        <v>2922</v>
      </c>
      <c r="F9" s="420" t="s">
        <v>12</v>
      </c>
      <c r="G9" s="420" t="s">
        <v>19</v>
      </c>
      <c r="H9" s="420" t="s">
        <v>2908</v>
      </c>
      <c r="I9" s="420" t="s">
        <v>2932</v>
      </c>
      <c r="J9" s="267" t="s">
        <v>2910</v>
      </c>
    </row>
    <row r="10" spans="1:10">
      <c r="A10" s="419" t="s"/>
      <c r="B10" s="420" t="s">
        <v>2933</v>
      </c>
      <c r="C10" s="420" t="s">
        <v>2934</v>
      </c>
      <c r="D10" s="420" t="s">
        <v>2934</v>
      </c>
      <c r="E10" s="420" t="s">
        <v>2933</v>
      </c>
      <c r="F10" s="420" t="s">
        <v>12</v>
      </c>
      <c r="G10" s="420" t="s">
        <v>19</v>
      </c>
      <c r="H10" s="420" t="s">
        <v>2908</v>
      </c>
      <c r="I10" s="420" t="s">
        <v>2935</v>
      </c>
      <c r="J10" s="267" t="s">
        <v>2910</v>
      </c>
    </row>
    <row r="11" spans="1:10">
      <c r="A11" s="419" t="s"/>
      <c r="B11" s="420" t="s">
        <v>2936</v>
      </c>
      <c r="C11" s="420" t="s">
        <v>2937</v>
      </c>
      <c r="D11" s="420" t="s">
        <v>2938</v>
      </c>
      <c r="E11" s="420" t="s">
        <v>2936</v>
      </c>
      <c r="F11" s="420" t="s">
        <v>12</v>
      </c>
      <c r="G11" s="420" t="s">
        <v>19</v>
      </c>
      <c r="H11" s="420" t="s">
        <v>2908</v>
      </c>
      <c r="I11" s="420" t="s">
        <v>2939</v>
      </c>
      <c r="J11" s="267" t="s">
        <v>2910</v>
      </c>
    </row>
    <row r="12" spans="1:10">
      <c r="A12" s="419" t="s"/>
      <c r="B12" s="420" t="s">
        <v>2940</v>
      </c>
      <c r="C12" s="420" t="s">
        <v>2941</v>
      </c>
      <c r="D12" s="420" t="s">
        <v>2941</v>
      </c>
      <c r="E12" s="420" t="s">
        <v>2940</v>
      </c>
      <c r="F12" s="420" t="s">
        <v>24</v>
      </c>
      <c r="G12" s="420" t="s">
        <v>19</v>
      </c>
      <c r="H12" s="420" t="s">
        <v>2908</v>
      </c>
      <c r="I12" s="420" t="s">
        <v>2942</v>
      </c>
      <c r="J12" s="267" t="s">
        <v>2910</v>
      </c>
    </row>
    <row r="13" spans="1:10">
      <c r="A13" s="419" t="s"/>
      <c r="B13" s="420" t="s">
        <v>2943</v>
      </c>
      <c r="C13" s="420" t="s">
        <v>2944</v>
      </c>
      <c r="D13" s="420" t="s">
        <v>2944</v>
      </c>
      <c r="E13" s="420" t="s">
        <v>2945</v>
      </c>
      <c r="F13" s="420" t="s">
        <v>12</v>
      </c>
      <c r="G13" s="420" t="s">
        <v>19</v>
      </c>
      <c r="H13" s="420" t="s">
        <v>2908</v>
      </c>
      <c r="I13" s="420" t="s">
        <v>2946</v>
      </c>
      <c r="J13" s="267" t="s">
        <v>2910</v>
      </c>
    </row>
    <row r="14" spans="1:10">
      <c r="A14" s="419" t="s"/>
      <c r="B14" s="420" t="s">
        <v>2947</v>
      </c>
      <c r="C14" s="420" t="s">
        <v>2948</v>
      </c>
      <c r="D14" s="420" t="s">
        <v>2948</v>
      </c>
      <c r="E14" s="420" t="s">
        <v>2947</v>
      </c>
      <c r="F14" s="420" t="s">
        <v>12</v>
      </c>
      <c r="G14" s="420" t="s">
        <v>19</v>
      </c>
      <c r="H14" s="420" t="s">
        <v>2908</v>
      </c>
      <c r="I14" s="420" t="s">
        <v>2949</v>
      </c>
      <c r="J14" s="267" t="s">
        <v>2910</v>
      </c>
    </row>
    <row r="15" spans="1:10">
      <c r="A15" s="419" t="s"/>
      <c r="B15" s="420" t="s">
        <v>2950</v>
      </c>
      <c r="C15" s="420" t="s">
        <v>2951</v>
      </c>
      <c r="D15" s="420" t="s">
        <v>2952</v>
      </c>
      <c r="E15" s="420" t="s">
        <v>2950</v>
      </c>
      <c r="F15" s="420" t="s">
        <v>12</v>
      </c>
      <c r="G15" s="420" t="s">
        <v>19</v>
      </c>
      <c r="H15" s="420" t="s">
        <v>2908</v>
      </c>
      <c r="I15" s="420" t="s">
        <v>2953</v>
      </c>
      <c r="J15" s="267" t="s">
        <v>2910</v>
      </c>
    </row>
    <row r="16" spans="1:10">
      <c r="A16" s="419" t="s"/>
      <c r="B16" s="420" t="s">
        <v>2954</v>
      </c>
      <c r="C16" s="420" t="s">
        <v>2955</v>
      </c>
      <c r="D16" s="420" t="s">
        <v>2955</v>
      </c>
      <c r="E16" s="420" t="s">
        <v>2954</v>
      </c>
      <c r="F16" s="420" t="s">
        <v>24</v>
      </c>
      <c r="G16" s="420" t="s">
        <v>19</v>
      </c>
      <c r="H16" s="420" t="s">
        <v>2908</v>
      </c>
      <c r="I16" s="420" t="s">
        <v>2956</v>
      </c>
      <c r="J16" s="267" t="s">
        <v>2910</v>
      </c>
    </row>
    <row r="17" spans="1:10">
      <c r="A17" s="419" t="s"/>
      <c r="B17" s="420" t="s">
        <v>2957</v>
      </c>
      <c r="C17" s="420" t="s">
        <v>2958</v>
      </c>
      <c r="D17" s="420" t="s">
        <v>2958</v>
      </c>
      <c r="E17" s="420" t="s">
        <v>2957</v>
      </c>
      <c r="F17" s="420" t="s">
        <v>12</v>
      </c>
      <c r="G17" s="420" t="s">
        <v>19</v>
      </c>
      <c r="H17" s="420" t="s">
        <v>2908</v>
      </c>
      <c r="I17" s="420" t="s">
        <v>2959</v>
      </c>
      <c r="J17" s="267" t="s">
        <v>2910</v>
      </c>
    </row>
    <row r="18" spans="1:10">
      <c r="A18" s="419" t="s"/>
      <c r="B18" s="420" t="s">
        <v>2960</v>
      </c>
      <c r="C18" s="420" t="s">
        <v>1963</v>
      </c>
      <c r="D18" s="420" t="s">
        <v>2961</v>
      </c>
      <c r="E18" s="420" t="s">
        <v>2962</v>
      </c>
      <c r="F18" s="420" t="s">
        <v>119</v>
      </c>
      <c r="G18" s="420" t="s">
        <v>19</v>
      </c>
      <c r="H18" s="420" t="s">
        <v>2908</v>
      </c>
      <c r="I18" s="420" t="s">
        <v>2963</v>
      </c>
      <c r="J18" s="267" t="s">
        <v>2910</v>
      </c>
    </row>
    <row r="19" spans="1:10">
      <c r="A19" s="419" t="s"/>
      <c r="B19" s="420" t="s">
        <v>2964</v>
      </c>
      <c r="C19" s="420" t="s">
        <v>1968</v>
      </c>
      <c r="D19" s="420" t="s">
        <v>2965</v>
      </c>
      <c r="E19" s="420" t="s">
        <v>2966</v>
      </c>
      <c r="F19" s="420" t="s">
        <v>119</v>
      </c>
      <c r="G19" s="420" t="s">
        <v>19</v>
      </c>
      <c r="H19" s="420" t="s">
        <v>2908</v>
      </c>
      <c r="I19" s="420" t="s">
        <v>2967</v>
      </c>
      <c r="J19" s="267" t="s">
        <v>2910</v>
      </c>
    </row>
    <row r="20" spans="1:10">
      <c r="A20" s="419" t="s"/>
      <c r="B20" s="420" t="s">
        <v>2968</v>
      </c>
      <c r="C20" s="420" t="s">
        <v>2969</v>
      </c>
      <c r="D20" s="420" t="s">
        <v>2970</v>
      </c>
      <c r="E20" s="420" t="s">
        <v>2971</v>
      </c>
      <c r="F20" s="420" t="s">
        <v>24</v>
      </c>
      <c r="G20" s="420" t="s">
        <v>19</v>
      </c>
      <c r="H20" s="420" t="s">
        <v>2908</v>
      </c>
      <c r="I20" s="420" t="s">
        <v>2972</v>
      </c>
      <c r="J20" s="267" t="s">
        <v>2910</v>
      </c>
    </row>
    <row r="21" spans="1:10">
      <c r="A21" s="419" t="s"/>
      <c r="B21" s="420" t="s">
        <v>2973</v>
      </c>
      <c r="C21" s="420" t="s">
        <v>2974</v>
      </c>
      <c r="D21" s="420" t="s">
        <v>2974</v>
      </c>
      <c r="E21" s="420" t="s">
        <v>2973</v>
      </c>
      <c r="F21" s="420" t="s">
        <v>12</v>
      </c>
      <c r="G21" s="420" t="s">
        <v>19</v>
      </c>
      <c r="H21" s="420" t="s">
        <v>2908</v>
      </c>
      <c r="I21" s="420" t="s">
        <v>2975</v>
      </c>
      <c r="J21" s="267" t="s">
        <v>2910</v>
      </c>
    </row>
    <row r="22" spans="1:10">
      <c r="A22" s="419" t="s"/>
      <c r="B22" s="420" t="s">
        <v>2976</v>
      </c>
      <c r="C22" s="420" t="s">
        <v>2977</v>
      </c>
      <c r="D22" s="420" t="s">
        <v>2977</v>
      </c>
      <c r="E22" s="420" t="s">
        <v>2976</v>
      </c>
      <c r="F22" s="420" t="s">
        <v>12</v>
      </c>
      <c r="G22" s="420" t="s">
        <v>19</v>
      </c>
      <c r="H22" s="420" t="s">
        <v>2908</v>
      </c>
      <c r="I22" s="420" t="s">
        <v>2978</v>
      </c>
      <c r="J22" s="267" t="s">
        <v>2910</v>
      </c>
    </row>
    <row r="23" spans="1:10">
      <c r="A23" s="419" t="s"/>
      <c r="B23" s="420" t="s">
        <v>2979</v>
      </c>
      <c r="C23" s="419" t="s"/>
      <c r="D23" s="420" t="s">
        <v>2980</v>
      </c>
      <c r="E23" s="420" t="s">
        <v>2981</v>
      </c>
      <c r="F23" s="420" t="s">
        <v>2091</v>
      </c>
      <c r="G23" s="420" t="s">
        <v>19</v>
      </c>
      <c r="H23" s="420" t="s">
        <v>2908</v>
      </c>
      <c r="I23" s="420" t="s">
        <v>2982</v>
      </c>
      <c r="J23" s="267" t="s">
        <v>2910</v>
      </c>
    </row>
    <row r="24" spans="1:10">
      <c r="A24" s="419" t="s"/>
      <c r="B24" s="420" t="s">
        <v>118</v>
      </c>
      <c r="C24" s="420" t="s">
        <v>1693</v>
      </c>
      <c r="D24" s="420" t="s">
        <v>117</v>
      </c>
      <c r="E24" s="420" t="s">
        <v>118</v>
      </c>
      <c r="F24" s="420" t="s">
        <v>119</v>
      </c>
      <c r="G24" s="420" t="s">
        <v>19</v>
      </c>
      <c r="H24" s="420" t="s">
        <v>2908</v>
      </c>
      <c r="I24" s="420" t="s">
        <v>2983</v>
      </c>
      <c r="J24" s="267" t="s">
        <v>2910</v>
      </c>
    </row>
    <row r="25" spans="1:10">
      <c r="A25" s="419" t="s"/>
      <c r="B25" s="419" t="s"/>
      <c r="C25" s="419" t="s"/>
      <c r="D25" s="420" t="s">
        <v>22</v>
      </c>
      <c r="E25" s="420" t="s">
        <v>23</v>
      </c>
      <c r="F25" s="420" t="s">
        <v>24</v>
      </c>
      <c r="G25" s="420" t="s">
        <v>19</v>
      </c>
      <c r="H25" s="420" t="s">
        <v>2908</v>
      </c>
      <c r="I25" s="420" t="s">
        <v>2984</v>
      </c>
      <c r="J25" s="267" t="s">
        <v>2910</v>
      </c>
    </row>
  </sheetData>
</worksheet>
</file>

<file path=xl/worksheets/sheet29.xml><?xml version="1.0" encoding="utf-8"?>
<worksheet xmlns="http://schemas.openxmlformats.org/spreadsheetml/2006/main">
  <sheetPr codeName="wafer detail">
    <tabColor rgb="FFD8D8D8"/>
  </sheetPr>
  <dimension ref="K200"/>
  <sheetViews>
    <sheetView showGridLines="true" workbookViewId="0"/>
  </sheetViews>
  <sheetFormatPr baseColWidth="13" defaultRowHeight="18" customHeight="true"/>
  <cols>
    <col min="1" max="1" width="46.7109" customWidth="true"/>
    <col min="2" max="2" width="58.3828" customWidth="true"/>
    <col min="3" max="3" width="33.7109" customWidth="true"/>
    <col min="4" max="4" width="42.7109" customWidth="true"/>
    <col min="5" max="5" width="55.7109" customWidth="true"/>
    <col min="6" max="6" width="26.3008" hidden="true" customWidth="true"/>
    <col min="7" max="7" width="24.2812" hidden="true" customWidth="true"/>
    <col min="8" max="8" width="69.0625" hidden="true" customWidth="true"/>
    <col min="9" max="9" width="52.7422" hidden="true" customWidth="true"/>
    <col min="10" max="10" width="105.613" hidden="true" customWidth="true"/>
    <col min="11" max="11" width="67.4414" customWidth="true"/>
    <col min="12" max="12" width="12.7109" customWidth="true"/>
    <col min="13" max="13" width="14.7109" customWidth="true"/>
    <col min="14" max="14" width="12.7109" customWidth="true"/>
    <col min="15" max="15" width="10.7109" customWidth="true"/>
    <col min="16" max="17" width="14.7109" customWidth="true"/>
    <col min="18" max="19" width="10.7109" customWidth="true"/>
    <col min="20" max="20" width="16.7109" customWidth="true"/>
    <col min="21" max="21" width="42.7109" customWidth="true"/>
    <col min="22" max="22" width="38.7109" customWidth="true"/>
  </cols>
  <sheetData>
    <row r="1" spans="1:22">
      <c r="A1" s="39" t="s">
        <v>1872</v>
      </c>
      <c r="B1" s="40" t="s"/>
      <c r="C1" s="40" t="s"/>
      <c r="D1" s="40" t="s"/>
      <c r="E1" s="40" t="s"/>
      <c r="F1" s="40" t="s"/>
      <c r="G1" s="40" t="s"/>
      <c r="H1" s="40" t="s"/>
      <c r="I1" s="40" t="s"/>
      <c r="J1" s="40" t="s"/>
      <c r="K1" s="40" t="s"/>
      <c r="L1" s="40" t="s"/>
      <c r="M1" s="40" t="s"/>
      <c r="N1" s="40" t="s"/>
      <c r="O1" s="40" t="s"/>
      <c r="P1" s="40" t="s"/>
      <c r="Q1" s="40" t="s"/>
      <c r="R1" s="40" t="s"/>
      <c r="S1" s="40" t="s"/>
      <c r="T1" s="40" t="s"/>
      <c r="U1" s="40" t="s"/>
      <c r="V1" s="40" t="s"/>
    </row>
    <row r="2" spans="1:22">
      <c r="A2" s="41" t="s">
        <v>200</v>
      </c>
      <c r="B2" s="41" t="s">
        <v>1873</v>
      </c>
      <c r="C2" s="41" t="s">
        <v>202</v>
      </c>
      <c r="D2" s="41" t="s">
        <v>4</v>
      </c>
      <c r="E2" s="41" t="s">
        <v>5</v>
      </c>
      <c r="F2" s="41" t="s">
        <v>6</v>
      </c>
      <c r="G2" s="41" t="s">
        <v>7</v>
      </c>
      <c r="H2" s="41" t="s">
        <v>8</v>
      </c>
      <c r="I2" s="41" t="s">
        <v>203</v>
      </c>
      <c r="J2" s="41" t="s">
        <v>9</v>
      </c>
      <c r="K2" s="41" t="s">
        <v>204</v>
      </c>
      <c r="L2" s="41" t="s">
        <v>205</v>
      </c>
      <c r="M2" s="41" t="s">
        <v>158</v>
      </c>
      <c r="N2" s="41" t="s">
        <v>206</v>
      </c>
      <c r="O2" s="41" t="s">
        <v>207</v>
      </c>
      <c r="P2" s="41" t="s">
        <v>208</v>
      </c>
      <c r="Q2" s="41" t="s">
        <v>209</v>
      </c>
      <c r="R2" s="41" t="s">
        <v>210</v>
      </c>
      <c r="S2" s="41" t="s">
        <v>175</v>
      </c>
      <c r="T2" s="41" t="s">
        <v>211</v>
      </c>
      <c r="U2" s="41" t="s">
        <v>212</v>
      </c>
      <c r="V2" s="41" t="s">
        <v>213</v>
      </c>
    </row>
    <row r="3" spans="1:22" s="200" customFormat="true">
      <c r="A3" s="327" t="s">
        <v>214</v>
      </c>
      <c r="B3" s="328" t="s"/>
      <c r="C3" s="327" t="s">
        <v>215</v>
      </c>
      <c r="D3" s="327" t="s">
        <v>1874</v>
      </c>
      <c r="E3" s="327" t="s">
        <v>1875</v>
      </c>
      <c r="F3" s="327" t="s">
        <v>12</v>
      </c>
      <c r="G3" s="327" t="s">
        <v>19</v>
      </c>
      <c r="H3" s="327" t="s">
        <v>1876</v>
      </c>
      <c r="I3" s="327" t="s">
        <v>1877</v>
      </c>
      <c r="J3" s="327" t="s">
        <v>1878</v>
      </c>
      <c r="K3" s="327" t="s">
        <v>1879</v>
      </c>
      <c r="L3" s="328" t="s"/>
      <c r="M3" s="328" t="s"/>
      <c r="N3" s="328" t="s"/>
      <c r="O3" s="328" t="s"/>
      <c r="P3" s="328" t="s"/>
      <c r="Q3" s="328" t="s"/>
      <c r="R3" s="328" t="s"/>
      <c r="S3" s="328" t="s"/>
      <c r="T3" s="328" t="s"/>
      <c r="U3" s="327" t="s">
        <v>222</v>
      </c>
      <c r="V3" s="328" t="s"/>
    </row>
    <row r="4" spans="1:22" s="200" customFormat="true">
      <c r="A4" s="327" t="s">
        <v>214</v>
      </c>
      <c r="B4" s="328" t="s"/>
      <c r="C4" s="327" t="s">
        <v>223</v>
      </c>
      <c r="D4" s="327" t="s">
        <v>224</v>
      </c>
      <c r="E4" s="327" t="s">
        <v>225</v>
      </c>
      <c r="F4" s="327" t="s">
        <v>12</v>
      </c>
      <c r="G4" s="327" t="s">
        <v>19</v>
      </c>
      <c r="H4" s="327" t="s">
        <v>1876</v>
      </c>
      <c r="I4" s="327" t="s">
        <v>219</v>
      </c>
      <c r="J4" s="327" t="s">
        <v>1880</v>
      </c>
      <c r="K4" s="327" t="s">
        <v>1879</v>
      </c>
      <c r="L4" s="328" t="s"/>
      <c r="M4" s="328" t="s"/>
      <c r="N4" s="328" t="s"/>
      <c r="O4" s="328" t="s"/>
      <c r="P4" s="328" t="s"/>
      <c r="Q4" s="328" t="s"/>
      <c r="R4" s="328" t="s"/>
      <c r="S4" s="328" t="s"/>
      <c r="T4" s="328" t="s"/>
      <c r="U4" s="328" t="s"/>
      <c r="V4" s="328" t="s"/>
    </row>
    <row r="5" spans="1:22" s="200" customFormat="true">
      <c r="A5" s="327" t="s">
        <v>232</v>
      </c>
      <c r="B5" s="327" t="s">
        <v>1881</v>
      </c>
      <c r="C5" s="327" t="s">
        <v>234</v>
      </c>
      <c r="D5" s="327" t="s">
        <v>235</v>
      </c>
      <c r="E5" s="327" t="s">
        <v>236</v>
      </c>
      <c r="F5" s="327" t="s">
        <v>12</v>
      </c>
      <c r="G5" s="327" t="s">
        <v>19</v>
      </c>
      <c r="H5" s="327" t="s">
        <v>1876</v>
      </c>
      <c r="I5" s="327" t="s">
        <v>1882</v>
      </c>
      <c r="J5" s="327" t="s">
        <v>1883</v>
      </c>
      <c r="K5" s="327" t="s">
        <v>1879</v>
      </c>
      <c r="L5" s="327">
        <v>1</v>
      </c>
      <c r="M5" s="327">
        <v>1</v>
      </c>
      <c r="N5" s="327">
        <v>1</v>
      </c>
      <c r="O5" s="327">
        <v>1</v>
      </c>
      <c r="P5" s="327">
        <v>1</v>
      </c>
      <c r="Q5" s="327">
        <v>1</v>
      </c>
      <c r="R5" s="327">
        <v>1</v>
      </c>
      <c r="S5" s="327">
        <v>1</v>
      </c>
      <c r="T5" s="327">
        <v>6</v>
      </c>
      <c r="U5" s="328" t="s"/>
      <c r="V5" s="328" t="s"/>
    </row>
    <row r="6" spans="1:22" s="200" customFormat="true">
      <c r="A6" s="327" t="s">
        <v>232</v>
      </c>
      <c r="C6" s="327" t="s">
        <v>1884</v>
      </c>
      <c r="D6" s="327" t="s">
        <v>278</v>
      </c>
      <c r="E6" s="327" t="s">
        <v>279</v>
      </c>
      <c r="F6" s="327" t="s">
        <v>12</v>
      </c>
      <c r="G6" s="327" t="s">
        <v>19</v>
      </c>
      <c r="H6" s="327" t="s">
        <v>1876</v>
      </c>
      <c r="I6" s="327" t="s">
        <v>1885</v>
      </c>
      <c r="J6" s="327" t="s">
        <v>1886</v>
      </c>
      <c r="K6" s="327" t="s">
        <v>1887</v>
      </c>
      <c r="L6" s="327">
        <v>1</v>
      </c>
      <c r="M6" s="327">
        <v>1</v>
      </c>
      <c r="N6" s="327">
        <v>1</v>
      </c>
      <c r="O6" s="327">
        <v>1</v>
      </c>
      <c r="P6" s="327">
        <v>1</v>
      </c>
      <c r="Q6" s="327">
        <v>1</v>
      </c>
      <c r="R6" s="327">
        <v>1</v>
      </c>
      <c r="S6" s="327">
        <v>1</v>
      </c>
      <c r="T6" s="327">
        <v>6</v>
      </c>
      <c r="U6" s="328" t="s"/>
      <c r="V6" s="328" t="s"/>
    </row>
    <row r="7" spans="1:22" s="474" customFormat="true">
      <c r="A7" s="329" t="s">
        <v>232</v>
      </c>
      <c r="B7" s="329" t="s">
        <v>1888</v>
      </c>
      <c r="C7" s="329" t="s">
        <v>385</v>
      </c>
      <c r="D7" s="329" t="s">
        <v>28</v>
      </c>
      <c r="E7" s="329" t="s">
        <v>29</v>
      </c>
      <c r="F7" s="329" t="s">
        <v>12</v>
      </c>
      <c r="G7" s="329" t="s">
        <v>19</v>
      </c>
      <c r="H7" s="329" t="s">
        <v>1876</v>
      </c>
      <c r="I7" s="329" t="s">
        <v>1889</v>
      </c>
      <c r="J7" s="329" t="s">
        <v>1890</v>
      </c>
      <c r="K7" s="329" t="s">
        <v>221</v>
      </c>
      <c r="L7" s="329">
        <v>1</v>
      </c>
      <c r="M7" s="329">
        <v>1</v>
      </c>
      <c r="N7" s="329">
        <v>1</v>
      </c>
      <c r="O7" s="329">
        <v>1</v>
      </c>
      <c r="P7" s="329">
        <v>1</v>
      </c>
      <c r="Q7" s="329">
        <v>1</v>
      </c>
      <c r="R7" s="329">
        <v>1</v>
      </c>
      <c r="S7" s="329">
        <v>1</v>
      </c>
      <c r="T7" s="329">
        <v>6</v>
      </c>
      <c r="U7" s="330" t="s"/>
      <c r="V7" s="330" t="s"/>
    </row>
    <row r="8" spans="1:22" s="200" customFormat="true">
      <c r="A8" s="327" t="s">
        <v>232</v>
      </c>
      <c r="B8" s="327" t="s">
        <v>1891</v>
      </c>
      <c r="C8" s="327" t="s">
        <v>1470</v>
      </c>
      <c r="D8" s="327" t="s">
        <v>38</v>
      </c>
      <c r="E8" s="327" t="s">
        <v>39</v>
      </c>
      <c r="F8" s="327" t="s">
        <v>12</v>
      </c>
      <c r="G8" s="327" t="s">
        <v>19</v>
      </c>
      <c r="H8" s="327" t="s">
        <v>1876</v>
      </c>
      <c r="I8" s="327" t="s">
        <v>1889</v>
      </c>
      <c r="J8" s="327" t="s">
        <v>1892</v>
      </c>
      <c r="K8" s="327" t="s">
        <v>1879</v>
      </c>
      <c r="L8" s="327">
        <v>1</v>
      </c>
      <c r="M8" s="327">
        <v>1</v>
      </c>
      <c r="N8" s="327">
        <v>1</v>
      </c>
      <c r="O8" s="327">
        <v>1</v>
      </c>
      <c r="P8" s="327">
        <v>1</v>
      </c>
      <c r="Q8" s="327">
        <v>1</v>
      </c>
      <c r="R8" s="327">
        <v>1</v>
      </c>
      <c r="S8" s="327">
        <v>1</v>
      </c>
      <c r="T8" s="327">
        <v>6</v>
      </c>
      <c r="U8" s="328" t="s"/>
      <c r="V8" s="328" t="s"/>
    </row>
    <row r="9" spans="1:22">
      <c r="A9" s="42" t="s">
        <v>232</v>
      </c>
      <c r="B9" s="42" t="s">
        <v>1893</v>
      </c>
      <c r="C9" s="42" t="s">
        <v>283</v>
      </c>
      <c r="D9" s="42" t="s">
        <v>284</v>
      </c>
      <c r="E9" s="42" t="s">
        <v>285</v>
      </c>
      <c r="F9" s="42" t="s">
        <v>12</v>
      </c>
      <c r="G9" s="42" t="s">
        <v>19</v>
      </c>
      <c r="H9" s="42" t="s">
        <v>1876</v>
      </c>
      <c r="I9" s="42" t="s">
        <v>1889</v>
      </c>
      <c r="J9" s="42" t="s">
        <v>1894</v>
      </c>
      <c r="K9" s="42" t="s">
        <v>221</v>
      </c>
      <c r="L9" s="42">
        <v>1</v>
      </c>
      <c r="M9" s="42">
        <v>1</v>
      </c>
      <c r="N9" s="42">
        <v>1</v>
      </c>
      <c r="O9" s="42">
        <v>1</v>
      </c>
      <c r="P9" s="42">
        <v>1</v>
      </c>
      <c r="Q9" s="42">
        <v>1</v>
      </c>
      <c r="R9" s="42">
        <v>1</v>
      </c>
      <c r="S9" s="42">
        <v>1</v>
      </c>
      <c r="T9" s="42">
        <v>6</v>
      </c>
      <c r="U9" s="43" t="s"/>
      <c r="V9" s="43" t="s"/>
    </row>
    <row r="10" spans="1:22" s="200" customFormat="true">
      <c r="A10" s="327" t="s">
        <v>232</v>
      </c>
      <c r="B10" s="327" t="s">
        <v>1895</v>
      </c>
      <c r="C10" s="327" t="s">
        <v>1896</v>
      </c>
      <c r="D10" s="327" t="s">
        <v>691</v>
      </c>
      <c r="E10" s="327" t="s">
        <v>49</v>
      </c>
      <c r="F10" s="327" t="s">
        <v>12</v>
      </c>
      <c r="G10" s="327" t="s">
        <v>19</v>
      </c>
      <c r="H10" s="327" t="s">
        <v>1876</v>
      </c>
      <c r="I10" s="327" t="s">
        <v>1897</v>
      </c>
      <c r="J10" s="327" t="s">
        <v>1898</v>
      </c>
      <c r="K10" s="331" t="s">
        <v>1879</v>
      </c>
      <c r="L10" s="327">
        <v>1</v>
      </c>
      <c r="M10" s="327">
        <v>1</v>
      </c>
      <c r="N10" s="327">
        <v>1</v>
      </c>
      <c r="O10" s="327">
        <v>1</v>
      </c>
      <c r="P10" s="327">
        <v>1</v>
      </c>
      <c r="Q10" s="327">
        <v>1</v>
      </c>
      <c r="R10" s="327">
        <v>1</v>
      </c>
      <c r="S10" s="328" t="s"/>
      <c r="T10" s="327">
        <v>6</v>
      </c>
      <c r="U10" s="327" t="s">
        <v>1899</v>
      </c>
      <c r="V10" s="328" t="s"/>
    </row>
    <row r="11" spans="1:22" s="200" customFormat="true">
      <c r="A11" s="327" t="s">
        <v>232</v>
      </c>
      <c r="B11" s="327" t="s">
        <v>1900</v>
      </c>
      <c r="C11" s="327" t="s">
        <v>1901</v>
      </c>
      <c r="D11" s="327" t="s">
        <v>695</v>
      </c>
      <c r="E11" s="327" t="s">
        <v>1902</v>
      </c>
      <c r="F11" s="327" t="s">
        <v>12</v>
      </c>
      <c r="G11" s="327" t="s">
        <v>19</v>
      </c>
      <c r="H11" s="327" t="s">
        <v>1876</v>
      </c>
      <c r="I11" s="327" t="s">
        <v>1903</v>
      </c>
      <c r="J11" s="327" t="s">
        <v>1904</v>
      </c>
      <c r="K11" s="327" t="s">
        <v>1879</v>
      </c>
      <c r="L11" s="327">
        <v>1</v>
      </c>
      <c r="M11" s="327">
        <v>1</v>
      </c>
      <c r="N11" s="327">
        <v>1</v>
      </c>
      <c r="O11" s="327">
        <v>1</v>
      </c>
      <c r="P11" s="327">
        <v>1</v>
      </c>
      <c r="Q11" s="327">
        <v>1</v>
      </c>
      <c r="R11" s="328" t="s"/>
      <c r="S11" s="328" t="s"/>
      <c r="T11" s="327">
        <v>5</v>
      </c>
      <c r="U11" s="328" t="s"/>
      <c r="V11" s="328" t="s"/>
    </row>
    <row r="12" spans="1:22" s="200" customFormat="true">
      <c r="A12" s="327" t="s">
        <v>232</v>
      </c>
      <c r="B12" s="327" t="s">
        <v>1905</v>
      </c>
      <c r="C12" s="327" t="s">
        <v>1906</v>
      </c>
      <c r="D12" s="327" t="s">
        <v>1096</v>
      </c>
      <c r="E12" s="327" t="s">
        <v>687</v>
      </c>
      <c r="F12" s="327" t="s">
        <v>1229</v>
      </c>
      <c r="G12" s="327" t="s">
        <v>19</v>
      </c>
      <c r="H12" s="327" t="s">
        <v>1876</v>
      </c>
      <c r="I12" s="327" t="s">
        <v>1907</v>
      </c>
      <c r="J12" s="327" t="s">
        <v>1908</v>
      </c>
      <c r="K12" s="327" t="s">
        <v>1879</v>
      </c>
      <c r="L12" s="327">
        <v>1</v>
      </c>
      <c r="M12" s="328" t="s"/>
      <c r="N12" s="327">
        <v>1</v>
      </c>
      <c r="O12" s="327">
        <v>1</v>
      </c>
      <c r="P12" s="327">
        <v>1</v>
      </c>
      <c r="Q12" s="327">
        <v>1</v>
      </c>
      <c r="R12" s="328" t="s"/>
      <c r="S12" s="328" t="s"/>
      <c r="T12" s="327">
        <v>4</v>
      </c>
      <c r="U12" s="328" t="s"/>
      <c r="V12" s="328" t="s"/>
    </row>
    <row r="13" spans="1:22" s="200" customFormat="true">
      <c r="A13" s="327" t="s">
        <v>232</v>
      </c>
      <c r="B13" s="327" t="s">
        <v>1909</v>
      </c>
      <c r="C13" s="327" t="s">
        <v>1910</v>
      </c>
      <c r="D13" s="327" t="s">
        <v>603</v>
      </c>
      <c r="E13" s="327" t="s">
        <v>604</v>
      </c>
      <c r="F13" s="327" t="s">
        <v>12</v>
      </c>
      <c r="G13" s="327" t="s">
        <v>19</v>
      </c>
      <c r="H13" s="327" t="s">
        <v>1876</v>
      </c>
      <c r="I13" s="327" t="s">
        <v>1911</v>
      </c>
      <c r="J13" s="327" t="s">
        <v>1912</v>
      </c>
      <c r="K13" s="327" t="s">
        <v>1913</v>
      </c>
      <c r="L13" s="327">
        <v>1</v>
      </c>
      <c r="M13" s="327">
        <v>1</v>
      </c>
      <c r="N13" s="327">
        <v>1</v>
      </c>
      <c r="O13" s="327">
        <v>1</v>
      </c>
      <c r="P13" s="327">
        <v>1</v>
      </c>
      <c r="Q13" s="327">
        <v>1</v>
      </c>
      <c r="R13" s="327">
        <v>1</v>
      </c>
      <c r="S13" s="327">
        <v>1</v>
      </c>
      <c r="T13" s="327">
        <v>6</v>
      </c>
      <c r="U13" s="328" t="s"/>
      <c r="V13" s="327" t="s">
        <v>1914</v>
      </c>
    </row>
    <row r="14" spans="1:22" s="200" customFormat="true">
      <c r="A14" s="327" t="s">
        <v>232</v>
      </c>
      <c r="B14" s="327" t="s">
        <v>1915</v>
      </c>
      <c r="C14" s="327" t="s">
        <v>1916</v>
      </c>
      <c r="D14" s="327" t="s">
        <v>78</v>
      </c>
      <c r="E14" s="327" t="s">
        <v>79</v>
      </c>
      <c r="F14" s="327" t="s">
        <v>12</v>
      </c>
      <c r="G14" s="327" t="s">
        <v>19</v>
      </c>
      <c r="H14" s="327" t="s">
        <v>1876</v>
      </c>
      <c r="I14" s="327" t="s">
        <v>1917</v>
      </c>
      <c r="J14" s="327" t="s">
        <v>1918</v>
      </c>
      <c r="K14" s="327" t="s">
        <v>1887</v>
      </c>
      <c r="L14" s="327">
        <v>1</v>
      </c>
      <c r="M14" s="327">
        <v>1</v>
      </c>
      <c r="N14" s="327">
        <v>1</v>
      </c>
      <c r="O14" s="327">
        <v>1</v>
      </c>
      <c r="P14" s="327">
        <v>1</v>
      </c>
      <c r="Q14" s="327">
        <v>1</v>
      </c>
      <c r="R14" s="327">
        <v>1</v>
      </c>
      <c r="S14" s="327">
        <v>1</v>
      </c>
      <c r="T14" s="327">
        <v>6</v>
      </c>
      <c r="U14" s="328" t="s"/>
      <c r="V14" s="328" t="s"/>
    </row>
    <row r="15" spans="1:22" s="200" customFormat="true">
      <c r="A15" s="327" t="s">
        <v>232</v>
      </c>
      <c r="B15" s="332" t="s"/>
      <c r="C15" s="332" t="s"/>
      <c r="D15" s="333" t="s">
        <v>1133</v>
      </c>
      <c r="E15" s="333" t="s">
        <v>415</v>
      </c>
      <c r="F15" s="332" t="s"/>
      <c r="G15" s="332" t="s"/>
      <c r="H15" s="332" t="s"/>
      <c r="I15" s="332" t="s"/>
      <c r="J15" s="332" t="s"/>
      <c r="K15" s="332" t="s">
        <v>1098</v>
      </c>
      <c r="L15" s="332" t="s"/>
      <c r="M15" s="332" t="s"/>
      <c r="N15" s="332" t="s"/>
      <c r="O15" s="332" t="s"/>
      <c r="P15" s="332" t="s"/>
      <c r="Q15" s="332" t="s"/>
      <c r="R15" s="332" t="s"/>
      <c r="S15" s="332" t="s"/>
      <c r="T15" s="332" t="s"/>
      <c r="U15" s="332" t="s"/>
      <c r="V15" s="334" t="s"/>
    </row>
    <row r="16" spans="1:22" s="200" customFormat="true">
      <c r="A16" s="327" t="s">
        <v>232</v>
      </c>
      <c r="B16" s="327" t="s">
        <v>1919</v>
      </c>
      <c r="C16" s="327" t="s">
        <v>1920</v>
      </c>
      <c r="D16" s="327" t="s">
        <v>83</v>
      </c>
      <c r="E16" s="327" t="s">
        <v>84</v>
      </c>
      <c r="F16" s="327" t="s">
        <v>12</v>
      </c>
      <c r="G16" s="327" t="s">
        <v>19</v>
      </c>
      <c r="H16" s="327" t="s">
        <v>1876</v>
      </c>
      <c r="I16" s="327" t="s">
        <v>1907</v>
      </c>
      <c r="J16" s="327" t="s">
        <v>1921</v>
      </c>
      <c r="K16" s="327" t="s">
        <v>1887</v>
      </c>
      <c r="L16" s="327">
        <v>1</v>
      </c>
      <c r="M16" s="327">
        <v>1</v>
      </c>
      <c r="N16" s="327">
        <v>1</v>
      </c>
      <c r="O16" s="327">
        <v>1</v>
      </c>
      <c r="P16" s="327">
        <v>1</v>
      </c>
      <c r="Q16" s="327">
        <v>1</v>
      </c>
      <c r="R16" s="327">
        <v>1</v>
      </c>
      <c r="S16" s="327">
        <v>1</v>
      </c>
      <c r="T16" s="327">
        <v>6</v>
      </c>
      <c r="U16" s="327" t="s">
        <v>1922</v>
      </c>
      <c r="V16" s="328" t="s"/>
    </row>
    <row r="17" spans="1:22" s="200" customFormat="true">
      <c r="A17" s="327" t="s">
        <v>232</v>
      </c>
      <c r="B17" s="327" t="s">
        <v>1923</v>
      </c>
      <c r="C17" s="327" t="s">
        <v>1924</v>
      </c>
      <c r="D17" s="327" t="s">
        <v>1086</v>
      </c>
      <c r="E17" s="327" t="s">
        <v>410</v>
      </c>
      <c r="F17" s="327" t="s">
        <v>12</v>
      </c>
      <c r="G17" s="327" t="s">
        <v>19</v>
      </c>
      <c r="H17" s="327" t="s">
        <v>1876</v>
      </c>
      <c r="I17" s="327" t="s">
        <v>1907</v>
      </c>
      <c r="J17" s="327" t="s">
        <v>1925</v>
      </c>
      <c r="K17" s="327" t="s">
        <v>1887</v>
      </c>
      <c r="L17" s="327">
        <v>1</v>
      </c>
      <c r="M17" s="327">
        <v>1</v>
      </c>
      <c r="N17" s="327">
        <v>1</v>
      </c>
      <c r="O17" s="327">
        <v>1</v>
      </c>
      <c r="P17" s="327">
        <v>1</v>
      </c>
      <c r="Q17" s="327">
        <v>1</v>
      </c>
      <c r="R17" s="327">
        <v>1</v>
      </c>
      <c r="S17" s="327">
        <v>1</v>
      </c>
      <c r="T17" s="327">
        <v>6</v>
      </c>
      <c r="U17" s="327" t="s">
        <v>1926</v>
      </c>
      <c r="V17" s="327" t="s">
        <v>1927</v>
      </c>
    </row>
    <row r="18" spans="1:22" s="200" customFormat="true">
      <c r="A18" s="327" t="s">
        <v>232</v>
      </c>
      <c r="B18" s="327" t="s">
        <v>1928</v>
      </c>
      <c r="C18" s="327" t="s">
        <v>1929</v>
      </c>
      <c r="D18" s="327" t="s">
        <v>1930</v>
      </c>
      <c r="E18" s="327" t="s">
        <v>739</v>
      </c>
      <c r="F18" s="327" t="s">
        <v>119</v>
      </c>
      <c r="G18" s="327" t="s">
        <v>19</v>
      </c>
      <c r="H18" s="327" t="s">
        <v>1876</v>
      </c>
      <c r="I18" s="327" t="s">
        <v>1907</v>
      </c>
      <c r="J18" s="327" t="s">
        <v>1931</v>
      </c>
      <c r="K18" s="327" t="s">
        <v>1932</v>
      </c>
      <c r="L18" s="327">
        <v>1</v>
      </c>
      <c r="M18" s="327">
        <v>1</v>
      </c>
      <c r="N18" s="327">
        <v>1</v>
      </c>
      <c r="O18" s="327">
        <v>1</v>
      </c>
      <c r="P18" s="327">
        <v>1</v>
      </c>
      <c r="Q18" s="327">
        <v>1</v>
      </c>
      <c r="R18" s="327">
        <v>1</v>
      </c>
      <c r="S18" s="327">
        <v>1</v>
      </c>
      <c r="T18" s="327">
        <v>6</v>
      </c>
      <c r="U18" s="328" t="s"/>
      <c r="V18" s="328" t="s"/>
    </row>
    <row r="19" spans="1:22" s="200" customFormat="true">
      <c r="A19" s="327" t="s">
        <v>232</v>
      </c>
      <c r="B19" s="327" t="s">
        <v>1933</v>
      </c>
      <c r="C19" s="327" t="s">
        <v>1934</v>
      </c>
      <c r="D19" s="327" t="s">
        <v>1935</v>
      </c>
      <c r="E19" s="327" t="s">
        <v>743</v>
      </c>
      <c r="F19" s="327" t="s">
        <v>119</v>
      </c>
      <c r="G19" s="327" t="s">
        <v>19</v>
      </c>
      <c r="H19" s="327" t="s">
        <v>1876</v>
      </c>
      <c r="I19" s="327" t="s">
        <v>1907</v>
      </c>
      <c r="J19" s="327" t="s">
        <v>1936</v>
      </c>
      <c r="K19" s="327" t="s">
        <v>1932</v>
      </c>
      <c r="L19" s="327">
        <v>1</v>
      </c>
      <c r="M19" s="327">
        <v>1</v>
      </c>
      <c r="N19" s="327">
        <v>1</v>
      </c>
      <c r="O19" s="327">
        <v>1</v>
      </c>
      <c r="P19" s="327">
        <v>1</v>
      </c>
      <c r="Q19" s="327">
        <v>1</v>
      </c>
      <c r="R19" s="327">
        <v>1</v>
      </c>
      <c r="S19" s="327">
        <v>1</v>
      </c>
      <c r="T19" s="327">
        <v>6</v>
      </c>
      <c r="U19" s="328" t="s"/>
      <c r="V19" s="328" t="s"/>
    </row>
    <row r="20" spans="1:22">
      <c r="A20" s="42" t="s">
        <v>232</v>
      </c>
      <c r="B20" s="42" t="s">
        <v>1937</v>
      </c>
      <c r="C20" s="42" t="s">
        <v>1938</v>
      </c>
      <c r="D20" s="42" t="s">
        <v>1938</v>
      </c>
      <c r="E20" s="42" t="s">
        <v>1939</v>
      </c>
      <c r="F20" s="42" t="s">
        <v>12</v>
      </c>
      <c r="G20" s="42" t="s">
        <v>19</v>
      </c>
      <c r="H20" s="42" t="s">
        <v>1876</v>
      </c>
      <c r="I20" s="43" t="s"/>
      <c r="J20" s="42" t="s">
        <v>1940</v>
      </c>
      <c r="K20" s="42" t="s">
        <v>221</v>
      </c>
      <c r="L20" s="42">
        <v>1</v>
      </c>
      <c r="M20" s="42">
        <v>1</v>
      </c>
      <c r="N20" s="42">
        <v>1</v>
      </c>
      <c r="O20" s="42">
        <v>1</v>
      </c>
      <c r="P20" s="42">
        <v>1</v>
      </c>
      <c r="Q20" s="42">
        <v>1</v>
      </c>
      <c r="R20" s="42">
        <v>1</v>
      </c>
      <c r="S20" s="42">
        <v>1</v>
      </c>
      <c r="T20" s="42">
        <v>6</v>
      </c>
      <c r="U20" s="42" t="s">
        <v>222</v>
      </c>
      <c r="V20" s="43" t="s"/>
    </row>
    <row r="21" spans="1:22">
      <c r="A21" s="42" t="s">
        <v>232</v>
      </c>
      <c r="B21" s="42" t="s">
        <v>1941</v>
      </c>
      <c r="C21" s="42" t="s">
        <v>1942</v>
      </c>
      <c r="D21" s="42" t="s">
        <v>1943</v>
      </c>
      <c r="E21" s="42" t="s">
        <v>1944</v>
      </c>
      <c r="F21" s="42" t="s">
        <v>12</v>
      </c>
      <c r="G21" s="42" t="s">
        <v>19</v>
      </c>
      <c r="H21" s="42" t="s">
        <v>1876</v>
      </c>
      <c r="I21" s="42" t="s">
        <v>1889</v>
      </c>
      <c r="J21" s="42" t="s">
        <v>1945</v>
      </c>
      <c r="K21" s="42" t="s">
        <v>221</v>
      </c>
      <c r="L21" s="42">
        <v>1</v>
      </c>
      <c r="M21" s="42">
        <v>1</v>
      </c>
      <c r="N21" s="42">
        <v>1</v>
      </c>
      <c r="O21" s="42">
        <v>1</v>
      </c>
      <c r="P21" s="42">
        <v>1</v>
      </c>
      <c r="Q21" s="42">
        <v>1</v>
      </c>
      <c r="R21" s="42">
        <v>1</v>
      </c>
      <c r="S21" s="42">
        <v>1</v>
      </c>
      <c r="T21" s="42">
        <v>6</v>
      </c>
      <c r="U21" s="43" t="s"/>
      <c r="V21" s="42" t="s">
        <v>1946</v>
      </c>
    </row>
    <row r="22" spans="1:22">
      <c r="A22" s="42" t="s">
        <v>232</v>
      </c>
      <c r="B22" s="42" t="s">
        <v>1947</v>
      </c>
      <c r="C22" s="42" t="s">
        <v>1948</v>
      </c>
      <c r="D22" s="42" t="s">
        <v>1949</v>
      </c>
      <c r="E22" s="42" t="s">
        <v>1950</v>
      </c>
      <c r="F22" s="42" t="s">
        <v>12</v>
      </c>
      <c r="G22" s="42" t="s">
        <v>19</v>
      </c>
      <c r="H22" s="42" t="s">
        <v>1876</v>
      </c>
      <c r="I22" s="42" t="s">
        <v>1951</v>
      </c>
      <c r="J22" s="42" t="s">
        <v>1952</v>
      </c>
      <c r="K22" s="42" t="s">
        <v>221</v>
      </c>
      <c r="L22" s="43" t="s"/>
      <c r="M22" s="43" t="s"/>
      <c r="N22" s="43" t="s"/>
      <c r="O22" s="43" t="s"/>
      <c r="P22" s="43" t="s"/>
      <c r="Q22" s="43" t="s"/>
      <c r="R22" s="43" t="s"/>
      <c r="S22" s="43" t="s"/>
      <c r="T22" s="43" t="s"/>
      <c r="U22" s="42" t="s">
        <v>1953</v>
      </c>
      <c r="V22" s="43" t="s"/>
    </row>
    <row r="23" spans="1:22" s="471" customFormat="true">
      <c r="A23" s="335" t="s">
        <v>1954</v>
      </c>
      <c r="B23" s="335" t="s">
        <v>1955</v>
      </c>
      <c r="C23" s="335" t="s">
        <v>1956</v>
      </c>
      <c r="D23" s="335" t="s">
        <v>1957</v>
      </c>
      <c r="E23" s="335" t="s">
        <v>1958</v>
      </c>
      <c r="F23" s="335" t="s">
        <v>119</v>
      </c>
      <c r="G23" s="335" t="s">
        <v>19</v>
      </c>
      <c r="H23" s="335" t="s">
        <v>1876</v>
      </c>
      <c r="I23" s="335" t="s">
        <v>1959</v>
      </c>
      <c r="J23" s="335" t="s">
        <v>1960</v>
      </c>
      <c r="K23" s="335" t="s">
        <v>221</v>
      </c>
      <c r="L23" s="335">
        <v>1</v>
      </c>
      <c r="M23" s="335">
        <v>1</v>
      </c>
      <c r="N23" s="335">
        <v>1</v>
      </c>
      <c r="O23" s="335">
        <v>1</v>
      </c>
      <c r="P23" s="335">
        <v>1</v>
      </c>
      <c r="Q23" s="335">
        <v>1</v>
      </c>
      <c r="R23" s="335">
        <v>1</v>
      </c>
      <c r="S23" s="335">
        <v>1</v>
      </c>
      <c r="T23" s="335">
        <v>6</v>
      </c>
      <c r="U23" s="336" t="s"/>
      <c r="V23" s="335" t="s">
        <v>1961</v>
      </c>
    </row>
    <row r="24" spans="1:22" s="471" customFormat="true">
      <c r="A24" s="335" t="s">
        <v>1954</v>
      </c>
      <c r="B24" s="335" t="s">
        <v>1962</v>
      </c>
      <c r="C24" s="335" t="s">
        <v>1963</v>
      </c>
      <c r="D24" s="335" t="s">
        <v>1964</v>
      </c>
      <c r="E24" s="335" t="s">
        <v>1965</v>
      </c>
      <c r="F24" s="335" t="s">
        <v>119</v>
      </c>
      <c r="G24" s="335" t="s">
        <v>19</v>
      </c>
      <c r="H24" s="335" t="s">
        <v>1876</v>
      </c>
      <c r="I24" s="336" t="s"/>
      <c r="J24" s="335" t="s">
        <v>1966</v>
      </c>
      <c r="K24" s="335" t="s">
        <v>221</v>
      </c>
      <c r="L24" s="335">
        <v>1</v>
      </c>
      <c r="M24" s="335">
        <v>1</v>
      </c>
      <c r="N24" s="335">
        <v>1</v>
      </c>
      <c r="O24" s="335">
        <v>1</v>
      </c>
      <c r="P24" s="335">
        <v>1</v>
      </c>
      <c r="Q24" s="335">
        <v>1</v>
      </c>
      <c r="R24" s="335">
        <v>1</v>
      </c>
      <c r="S24" s="335">
        <v>1</v>
      </c>
      <c r="T24" s="335">
        <v>6</v>
      </c>
      <c r="U24" s="336" t="s"/>
      <c r="V24" s="336" t="s"/>
    </row>
    <row r="25" spans="1:22" s="471" customFormat="true">
      <c r="A25" s="335" t="s">
        <v>1954</v>
      </c>
      <c r="B25" s="335" t="s">
        <v>1967</v>
      </c>
      <c r="C25" s="335" t="s">
        <v>1968</v>
      </c>
      <c r="D25" s="335" t="s">
        <v>1969</v>
      </c>
      <c r="E25" s="335" t="s">
        <v>1970</v>
      </c>
      <c r="F25" s="335" t="s">
        <v>119</v>
      </c>
      <c r="G25" s="335" t="s">
        <v>19</v>
      </c>
      <c r="H25" s="335" t="s">
        <v>1876</v>
      </c>
      <c r="I25" s="336" t="s"/>
      <c r="J25" s="335" t="s">
        <v>1971</v>
      </c>
      <c r="K25" s="335" t="s">
        <v>221</v>
      </c>
      <c r="L25" s="335">
        <v>1</v>
      </c>
      <c r="M25" s="335">
        <v>1</v>
      </c>
      <c r="N25" s="335">
        <v>1</v>
      </c>
      <c r="O25" s="335">
        <v>1</v>
      </c>
      <c r="P25" s="335">
        <v>1</v>
      </c>
      <c r="Q25" s="335">
        <v>1</v>
      </c>
      <c r="R25" s="335">
        <v>1</v>
      </c>
      <c r="S25" s="335">
        <v>1</v>
      </c>
      <c r="T25" s="335">
        <v>6</v>
      </c>
      <c r="U25" s="336" t="s"/>
      <c r="V25" s="336" t="s"/>
    </row>
    <row r="26" spans="1:22">
      <c r="A26" s="337" t="s">
        <v>1954</v>
      </c>
      <c r="B26" s="337" t="s">
        <v>1972</v>
      </c>
      <c r="C26" s="337" t="s">
        <v>1973</v>
      </c>
      <c r="D26" s="337" t="s">
        <v>1974</v>
      </c>
      <c r="E26" s="337" t="s">
        <v>1975</v>
      </c>
      <c r="F26" s="337" t="s">
        <v>12</v>
      </c>
      <c r="G26" s="337" t="s">
        <v>19</v>
      </c>
      <c r="H26" s="337" t="s">
        <v>1876</v>
      </c>
      <c r="I26" s="337" t="s">
        <v>1976</v>
      </c>
      <c r="J26" s="337" t="s">
        <v>1977</v>
      </c>
      <c r="K26" s="337" t="s">
        <v>221</v>
      </c>
      <c r="L26" s="337">
        <v>1</v>
      </c>
      <c r="M26" s="337">
        <v>1</v>
      </c>
      <c r="N26" s="337">
        <v>1</v>
      </c>
      <c r="O26" s="337">
        <v>1</v>
      </c>
      <c r="P26" s="338" t="s"/>
      <c r="Q26" s="337">
        <v>1</v>
      </c>
      <c r="R26" s="337">
        <v>1</v>
      </c>
      <c r="S26" s="337">
        <v>1</v>
      </c>
      <c r="T26" s="337">
        <v>5</v>
      </c>
      <c r="U26" s="338" t="s"/>
      <c r="V26" s="338" t="s"/>
    </row>
    <row r="27" spans="1:22">
      <c r="A27" s="42" t="s">
        <v>1954</v>
      </c>
      <c r="B27" s="42" t="s">
        <v>1978</v>
      </c>
      <c r="C27" s="42" t="s">
        <v>1979</v>
      </c>
      <c r="D27" s="42" t="s">
        <v>1980</v>
      </c>
      <c r="E27" s="42" t="s">
        <v>1981</v>
      </c>
      <c r="F27" s="42" t="s">
        <v>12</v>
      </c>
      <c r="G27" s="42" t="s">
        <v>19</v>
      </c>
      <c r="H27" s="42" t="s">
        <v>1876</v>
      </c>
      <c r="I27" s="43" t="s"/>
      <c r="J27" s="42" t="s">
        <v>1982</v>
      </c>
      <c r="K27" s="42" t="s">
        <v>221</v>
      </c>
      <c r="L27" s="42">
        <v>1</v>
      </c>
      <c r="M27" s="42">
        <v>1</v>
      </c>
      <c r="N27" s="42">
        <v>1</v>
      </c>
      <c r="O27" s="42">
        <v>1</v>
      </c>
      <c r="P27" s="42">
        <v>1</v>
      </c>
      <c r="Q27" s="42">
        <v>1</v>
      </c>
      <c r="R27" s="42">
        <v>1</v>
      </c>
      <c r="S27" s="42">
        <v>1</v>
      </c>
      <c r="T27" s="42">
        <v>6</v>
      </c>
      <c r="U27" s="42" t="s">
        <v>222</v>
      </c>
      <c r="V27" s="43" t="s"/>
    </row>
    <row r="28" spans="1:22">
      <c r="A28" s="42" t="s">
        <v>1983</v>
      </c>
      <c r="B28" s="43" t="s"/>
      <c r="C28" s="42" t="s">
        <v>1984</v>
      </c>
      <c r="D28" s="42" t="s">
        <v>1984</v>
      </c>
      <c r="E28" s="42" t="s">
        <v>1985</v>
      </c>
      <c r="F28" s="42" t="s">
        <v>12</v>
      </c>
      <c r="G28" s="42" t="s">
        <v>19</v>
      </c>
      <c r="H28" s="42" t="s">
        <v>1876</v>
      </c>
      <c r="I28" s="43" t="s"/>
      <c r="J28" s="42" t="s">
        <v>1986</v>
      </c>
      <c r="K28" s="42" t="s">
        <v>221</v>
      </c>
      <c r="L28" s="43" t="s"/>
      <c r="M28" s="43" t="s"/>
      <c r="N28" s="43" t="s"/>
      <c r="O28" s="43" t="s"/>
      <c r="P28" s="43" t="s"/>
      <c r="Q28" s="43" t="s"/>
      <c r="R28" s="43" t="s"/>
      <c r="S28" s="43" t="s"/>
      <c r="T28" s="43" t="s"/>
      <c r="U28" s="42" t="s">
        <v>222</v>
      </c>
      <c r="V28" s="43" t="s"/>
    </row>
    <row r="29" spans="1:22">
      <c r="A29" s="42" t="s">
        <v>1983</v>
      </c>
      <c r="B29" s="43" t="s"/>
      <c r="C29" s="42" t="s">
        <v>1987</v>
      </c>
      <c r="D29" s="42" t="s">
        <v>1987</v>
      </c>
      <c r="E29" s="42" t="s">
        <v>1988</v>
      </c>
      <c r="F29" s="42" t="s">
        <v>99</v>
      </c>
      <c r="G29" s="42" t="s">
        <v>19</v>
      </c>
      <c r="H29" s="42" t="s">
        <v>1876</v>
      </c>
      <c r="I29" s="42" t="s">
        <v>1989</v>
      </c>
      <c r="J29" s="42" t="s">
        <v>1990</v>
      </c>
      <c r="K29" s="42" t="s">
        <v>221</v>
      </c>
      <c r="L29" s="43" t="s"/>
      <c r="M29" s="43" t="s"/>
      <c r="N29" s="43" t="s"/>
      <c r="O29" s="43" t="s"/>
      <c r="P29" s="43" t="s"/>
      <c r="Q29" s="43" t="s"/>
      <c r="R29" s="43" t="s"/>
      <c r="S29" s="43" t="s"/>
      <c r="T29" s="43" t="s"/>
      <c r="U29" s="42" t="s">
        <v>222</v>
      </c>
      <c r="V29" s="43" t="s"/>
    </row>
    <row r="30" spans="1:22">
      <c r="A30" s="42" t="s">
        <v>1983</v>
      </c>
      <c r="B30" s="43" t="s"/>
      <c r="C30" s="42" t="s">
        <v>1991</v>
      </c>
      <c r="D30" s="42" t="s">
        <v>1992</v>
      </c>
      <c r="E30" s="42" t="s">
        <v>1993</v>
      </c>
      <c r="F30" s="42" t="s">
        <v>99</v>
      </c>
      <c r="G30" s="42" t="s">
        <v>19</v>
      </c>
      <c r="H30" s="42" t="s">
        <v>1876</v>
      </c>
      <c r="I30" s="42" t="s">
        <v>1989</v>
      </c>
      <c r="J30" s="42" t="s">
        <v>1994</v>
      </c>
      <c r="K30" s="42" t="s">
        <v>221</v>
      </c>
      <c r="L30" s="43" t="s"/>
      <c r="M30" s="43" t="s"/>
      <c r="N30" s="43" t="s"/>
      <c r="O30" s="43" t="s"/>
      <c r="P30" s="43" t="s"/>
      <c r="Q30" s="43" t="s"/>
      <c r="R30" s="43" t="s"/>
      <c r="S30" s="43" t="s"/>
      <c r="T30" s="43" t="s"/>
      <c r="U30" s="42" t="s">
        <v>222</v>
      </c>
      <c r="V30" s="42" t="s">
        <v>1995</v>
      </c>
    </row>
    <row r="31" spans="1:22">
      <c r="A31" s="42" t="s">
        <v>1983</v>
      </c>
      <c r="B31" s="43" t="s"/>
      <c r="C31" s="42" t="s">
        <v>1996</v>
      </c>
      <c r="D31" s="42" t="s">
        <v>1997</v>
      </c>
      <c r="E31" s="42" t="s">
        <v>1998</v>
      </c>
      <c r="F31" s="42" t="s">
        <v>99</v>
      </c>
      <c r="G31" s="42" t="s">
        <v>19</v>
      </c>
      <c r="H31" s="42" t="s">
        <v>1876</v>
      </c>
      <c r="I31" s="42" t="s">
        <v>1989</v>
      </c>
      <c r="J31" s="42" t="s">
        <v>1999</v>
      </c>
      <c r="K31" s="42" t="s">
        <v>221</v>
      </c>
      <c r="L31" s="43" t="s"/>
      <c r="M31" s="43" t="s"/>
      <c r="N31" s="43" t="s"/>
      <c r="O31" s="43" t="s"/>
      <c r="P31" s="43" t="s"/>
      <c r="Q31" s="43" t="s"/>
      <c r="R31" s="43" t="s"/>
      <c r="S31" s="43" t="s"/>
      <c r="T31" s="43" t="s"/>
      <c r="U31" s="42" t="s">
        <v>222</v>
      </c>
      <c r="V31" s="43" t="s"/>
    </row>
    <row r="32" spans="1:22">
      <c r="A32" s="42" t="s">
        <v>1983</v>
      </c>
      <c r="B32" s="43" t="s"/>
      <c r="C32" s="42" t="s">
        <v>2000</v>
      </c>
      <c r="D32" s="42" t="s">
        <v>2000</v>
      </c>
      <c r="E32" s="42" t="s">
        <v>2001</v>
      </c>
      <c r="F32" s="42" t="s">
        <v>99</v>
      </c>
      <c r="G32" s="42" t="s">
        <v>19</v>
      </c>
      <c r="H32" s="42" t="s">
        <v>1876</v>
      </c>
      <c r="I32" s="42" t="s">
        <v>1989</v>
      </c>
      <c r="J32" s="42" t="s">
        <v>2002</v>
      </c>
      <c r="K32" s="42" t="s">
        <v>221</v>
      </c>
      <c r="L32" s="43" t="s"/>
      <c r="M32" s="43" t="s"/>
      <c r="N32" s="43" t="s"/>
      <c r="O32" s="43" t="s"/>
      <c r="P32" s="43" t="s"/>
      <c r="Q32" s="43" t="s"/>
      <c r="R32" s="43" t="s"/>
      <c r="S32" s="43" t="s"/>
      <c r="T32" s="43" t="s"/>
      <c r="U32" s="42" t="s">
        <v>222</v>
      </c>
      <c r="V32" s="43" t="s"/>
    </row>
    <row r="33" spans="1:22">
      <c r="A33" s="42" t="s">
        <v>1983</v>
      </c>
      <c r="B33" s="43" t="s"/>
      <c r="C33" s="42" t="s">
        <v>2003</v>
      </c>
      <c r="D33" s="42" t="s">
        <v>2004</v>
      </c>
      <c r="E33" s="42" t="s">
        <v>2005</v>
      </c>
      <c r="F33" s="42" t="s">
        <v>12</v>
      </c>
      <c r="G33" s="42" t="s">
        <v>19</v>
      </c>
      <c r="H33" s="42" t="s">
        <v>1876</v>
      </c>
      <c r="I33" s="42" t="s">
        <v>1989</v>
      </c>
      <c r="J33" s="42" t="s">
        <v>2006</v>
      </c>
      <c r="K33" s="42" t="s">
        <v>221</v>
      </c>
      <c r="L33" s="43" t="s"/>
      <c r="M33" s="43" t="s"/>
      <c r="N33" s="43" t="s"/>
      <c r="O33" s="43" t="s"/>
      <c r="P33" s="43" t="s"/>
      <c r="Q33" s="43" t="s"/>
      <c r="R33" s="43" t="s"/>
      <c r="S33" s="43" t="s"/>
      <c r="T33" s="43" t="s"/>
      <c r="U33" s="42" t="s">
        <v>222</v>
      </c>
      <c r="V33" s="43" t="s"/>
    </row>
    <row r="34" spans="1:22">
      <c r="A34" s="42" t="s">
        <v>1983</v>
      </c>
      <c r="B34" s="43" t="s"/>
      <c r="C34" s="42" t="s">
        <v>2007</v>
      </c>
      <c r="D34" s="42" t="s">
        <v>2007</v>
      </c>
      <c r="E34" s="42" t="s">
        <v>2008</v>
      </c>
      <c r="F34" s="42" t="s">
        <v>12</v>
      </c>
      <c r="G34" s="42" t="s">
        <v>19</v>
      </c>
      <c r="H34" s="42" t="s">
        <v>1876</v>
      </c>
      <c r="I34" s="43" t="s"/>
      <c r="J34" s="42" t="s">
        <v>2009</v>
      </c>
      <c r="K34" s="42" t="s">
        <v>221</v>
      </c>
      <c r="L34" s="43" t="s"/>
      <c r="M34" s="43" t="s"/>
      <c r="N34" s="43" t="s"/>
      <c r="O34" s="43" t="s"/>
      <c r="P34" s="43" t="s"/>
      <c r="Q34" s="43" t="s"/>
      <c r="R34" s="43" t="s"/>
      <c r="S34" s="43" t="s"/>
      <c r="T34" s="43" t="s"/>
      <c r="U34" s="42" t="s">
        <v>222</v>
      </c>
      <c r="V34" s="42" t="s">
        <v>2010</v>
      </c>
    </row>
    <row r="35" spans="1:22">
      <c r="A35" s="42" t="s">
        <v>1983</v>
      </c>
      <c r="B35" s="43" t="s"/>
      <c r="C35" s="42" t="s">
        <v>2011</v>
      </c>
      <c r="D35" s="42" t="s">
        <v>2012</v>
      </c>
      <c r="E35" s="42" t="s">
        <v>2013</v>
      </c>
      <c r="F35" s="42" t="s">
        <v>12</v>
      </c>
      <c r="G35" s="42" t="s">
        <v>19</v>
      </c>
      <c r="H35" s="42" t="s">
        <v>1876</v>
      </c>
      <c r="I35" s="43" t="s"/>
      <c r="J35" s="42" t="s">
        <v>2014</v>
      </c>
      <c r="K35" s="42" t="s">
        <v>221</v>
      </c>
      <c r="L35" s="43" t="s"/>
      <c r="M35" s="43" t="s"/>
      <c r="N35" s="43" t="s"/>
      <c r="O35" s="43" t="s"/>
      <c r="P35" s="43" t="s"/>
      <c r="Q35" s="43" t="s"/>
      <c r="R35" s="43" t="s"/>
      <c r="S35" s="43" t="s"/>
      <c r="T35" s="43" t="s"/>
      <c r="U35" s="42" t="s">
        <v>222</v>
      </c>
      <c r="V35" s="43" t="s"/>
    </row>
    <row r="36" spans="1:22">
      <c r="A36" s="42" t="s">
        <v>1983</v>
      </c>
      <c r="B36" s="43" t="s"/>
      <c r="C36" s="42" t="s">
        <v>2015</v>
      </c>
      <c r="D36" s="42" t="s">
        <v>2015</v>
      </c>
      <c r="E36" s="42" t="s">
        <v>2016</v>
      </c>
      <c r="F36" s="42" t="s">
        <v>12</v>
      </c>
      <c r="G36" s="42" t="s">
        <v>19</v>
      </c>
      <c r="H36" s="42" t="s">
        <v>1876</v>
      </c>
      <c r="I36" s="42" t="s">
        <v>1989</v>
      </c>
      <c r="J36" s="42" t="s">
        <v>2017</v>
      </c>
      <c r="K36" s="42" t="s">
        <v>221</v>
      </c>
      <c r="L36" s="43" t="s"/>
      <c r="M36" s="43" t="s"/>
      <c r="N36" s="43" t="s"/>
      <c r="O36" s="43" t="s"/>
      <c r="P36" s="43" t="s"/>
      <c r="Q36" s="43" t="s"/>
      <c r="R36" s="43" t="s"/>
      <c r="S36" s="43" t="s"/>
      <c r="T36" s="43" t="s"/>
      <c r="U36" s="42" t="s">
        <v>222</v>
      </c>
      <c r="V36" s="43" t="s"/>
    </row>
    <row r="37" spans="1:22">
      <c r="A37" s="337" t="s">
        <v>239</v>
      </c>
      <c r="B37" s="338" t="s"/>
      <c r="C37" s="337" t="s">
        <v>1653</v>
      </c>
      <c r="D37" s="337" t="s">
        <v>1653</v>
      </c>
      <c r="E37" s="337" t="s">
        <v>1654</v>
      </c>
      <c r="F37" s="337" t="s">
        <v>12</v>
      </c>
      <c r="G37" s="337" t="s">
        <v>19</v>
      </c>
      <c r="H37" s="337" t="s">
        <v>1876</v>
      </c>
      <c r="I37" s="337" t="s">
        <v>2018</v>
      </c>
      <c r="J37" s="337" t="s">
        <v>2019</v>
      </c>
      <c r="K37" s="337" t="s">
        <v>221</v>
      </c>
      <c r="L37" s="338" t="s"/>
      <c r="M37" s="338" t="s"/>
      <c r="N37" s="338" t="s"/>
      <c r="O37" s="338" t="s"/>
      <c r="P37" s="338" t="s"/>
      <c r="Q37" s="338" t="s"/>
      <c r="R37" s="338" t="s"/>
      <c r="S37" s="338" t="s"/>
      <c r="T37" s="338" t="s"/>
      <c r="U37" s="337" t="s">
        <v>222</v>
      </c>
      <c r="V37" s="338" t="s"/>
    </row>
    <row r="38" spans="1:22">
      <c r="A38" s="42" t="s">
        <v>239</v>
      </c>
      <c r="B38" s="43" t="s"/>
      <c r="C38" s="42" t="s">
        <v>2020</v>
      </c>
      <c r="D38" s="42" t="s">
        <v>2021</v>
      </c>
      <c r="E38" s="42" t="s">
        <v>2022</v>
      </c>
      <c r="F38" s="42" t="s">
        <v>12</v>
      </c>
      <c r="G38" s="42" t="s">
        <v>19</v>
      </c>
      <c r="H38" s="42" t="s">
        <v>1876</v>
      </c>
      <c r="I38" s="43" t="s"/>
      <c r="J38" s="42" t="s">
        <v>2023</v>
      </c>
      <c r="K38" s="42" t="s">
        <v>221</v>
      </c>
      <c r="L38" s="43" t="s"/>
      <c r="M38" s="43" t="s"/>
      <c r="N38" s="43" t="s"/>
      <c r="O38" s="43" t="s"/>
      <c r="P38" s="43" t="s"/>
      <c r="Q38" s="43" t="s"/>
      <c r="R38" s="43" t="s"/>
      <c r="S38" s="43" t="s"/>
      <c r="T38" s="43" t="s"/>
      <c r="U38" s="42" t="s">
        <v>222</v>
      </c>
      <c r="V38" s="43" t="s"/>
    </row>
    <row r="39" spans="1:22">
      <c r="A39" s="42" t="s">
        <v>239</v>
      </c>
      <c r="B39" s="43" t="s"/>
      <c r="C39" s="42" t="s">
        <v>241</v>
      </c>
      <c r="D39" s="42" t="s">
        <v>242</v>
      </c>
      <c r="E39" s="42" t="s">
        <v>243</v>
      </c>
      <c r="F39" s="42" t="s">
        <v>12</v>
      </c>
      <c r="G39" s="42" t="s">
        <v>19</v>
      </c>
      <c r="H39" s="42" t="s">
        <v>1876</v>
      </c>
      <c r="I39" s="42" t="s">
        <v>2024</v>
      </c>
      <c r="J39" s="42" t="s">
        <v>2025</v>
      </c>
      <c r="K39" s="42" t="s">
        <v>221</v>
      </c>
      <c r="L39" s="43" t="s"/>
      <c r="M39" s="43" t="s"/>
      <c r="N39" s="43" t="s"/>
      <c r="O39" s="43" t="s"/>
      <c r="P39" s="43" t="s"/>
      <c r="Q39" s="43" t="s"/>
      <c r="R39" s="43" t="s"/>
      <c r="S39" s="43" t="s"/>
      <c r="T39" s="43" t="s"/>
      <c r="U39" s="42" t="s">
        <v>222</v>
      </c>
      <c r="V39" s="43" t="s"/>
    </row>
    <row r="40" spans="1:22">
      <c r="A40" s="42" t="s">
        <v>239</v>
      </c>
      <c r="B40" s="43" t="s"/>
      <c r="C40" s="42" t="s">
        <v>252</v>
      </c>
      <c r="D40" s="42" t="s">
        <v>252</v>
      </c>
      <c r="E40" s="42" t="s">
        <v>253</v>
      </c>
      <c r="F40" s="42" t="s">
        <v>12</v>
      </c>
      <c r="G40" s="42" t="s">
        <v>19</v>
      </c>
      <c r="H40" s="42" t="s">
        <v>1876</v>
      </c>
      <c r="I40" s="42" t="s">
        <v>2026</v>
      </c>
      <c r="J40" s="42" t="s">
        <v>2027</v>
      </c>
      <c r="K40" s="42" t="s">
        <v>221</v>
      </c>
      <c r="L40" s="43" t="s"/>
      <c r="M40" s="43" t="s"/>
      <c r="N40" s="43" t="s"/>
      <c r="O40" s="43" t="s"/>
      <c r="P40" s="43" t="s"/>
      <c r="Q40" s="43" t="s"/>
      <c r="R40" s="43" t="s"/>
      <c r="S40" s="43" t="s"/>
      <c r="T40" s="43" t="s"/>
      <c r="U40" s="42" t="s">
        <v>222</v>
      </c>
      <c r="V40" s="43" t="s"/>
    </row>
    <row r="41" spans="1:22">
      <c r="A41" s="337" t="s">
        <v>239</v>
      </c>
      <c r="B41" s="337" t="s">
        <v>2028</v>
      </c>
      <c r="C41" s="337" t="s">
        <v>2029</v>
      </c>
      <c r="D41" s="337" t="s">
        <v>2030</v>
      </c>
      <c r="E41" s="337" t="s">
        <v>2031</v>
      </c>
      <c r="F41" s="337" t="s">
        <v>12</v>
      </c>
      <c r="G41" s="337" t="s">
        <v>19</v>
      </c>
      <c r="H41" s="337" t="s">
        <v>1876</v>
      </c>
      <c r="I41" s="337" t="s">
        <v>2018</v>
      </c>
      <c r="J41" s="337" t="s">
        <v>2032</v>
      </c>
      <c r="K41" s="337" t="s">
        <v>221</v>
      </c>
      <c r="L41" s="337">
        <v>1</v>
      </c>
      <c r="M41" s="337">
        <v>1</v>
      </c>
      <c r="N41" s="337">
        <v>1</v>
      </c>
      <c r="O41" s="337">
        <v>1</v>
      </c>
      <c r="P41" s="337">
        <v>1</v>
      </c>
      <c r="Q41" s="337">
        <v>1</v>
      </c>
      <c r="R41" s="337">
        <v>1</v>
      </c>
      <c r="S41" s="337">
        <v>1</v>
      </c>
      <c r="T41" s="337">
        <v>6</v>
      </c>
      <c r="U41" s="338" t="s"/>
      <c r="V41" s="337" t="s">
        <v>2033</v>
      </c>
    </row>
    <row r="42" spans="1:22">
      <c r="A42" s="337" t="s">
        <v>239</v>
      </c>
      <c r="B42" s="337" t="s">
        <v>2034</v>
      </c>
      <c r="C42" s="337" t="s">
        <v>256</v>
      </c>
      <c r="D42" s="337" t="s">
        <v>256</v>
      </c>
      <c r="E42" s="337" t="s">
        <v>257</v>
      </c>
      <c r="F42" s="337" t="s">
        <v>258</v>
      </c>
      <c r="G42" s="337" t="s">
        <v>19</v>
      </c>
      <c r="H42" s="337" t="s">
        <v>1876</v>
      </c>
      <c r="I42" s="337" t="s">
        <v>259</v>
      </c>
      <c r="J42" s="337" t="s">
        <v>2035</v>
      </c>
      <c r="K42" s="337" t="s">
        <v>221</v>
      </c>
      <c r="L42" s="338" t="s"/>
      <c r="M42" s="338" t="s"/>
      <c r="N42" s="338" t="s"/>
      <c r="O42" s="338" t="s"/>
      <c r="P42" s="338" t="s"/>
      <c r="Q42" s="338" t="s"/>
      <c r="R42" s="338" t="s"/>
      <c r="S42" s="338" t="s"/>
      <c r="T42" s="338" t="s"/>
      <c r="U42" s="337" t="s">
        <v>222</v>
      </c>
      <c r="V42" s="338" t="s"/>
    </row>
    <row r="43" spans="1:22">
      <c r="A43" s="42" t="s">
        <v>2036</v>
      </c>
      <c r="B43" s="43" t="s"/>
      <c r="C43" s="42" t="s">
        <v>2037</v>
      </c>
      <c r="D43" s="42" t="s">
        <v>2038</v>
      </c>
      <c r="E43" s="42" t="s">
        <v>2039</v>
      </c>
      <c r="F43" s="42" t="s">
        <v>2040</v>
      </c>
      <c r="G43" s="42" t="s">
        <v>19</v>
      </c>
      <c r="H43" s="42" t="s">
        <v>1876</v>
      </c>
      <c r="I43" s="42" t="s">
        <v>1911</v>
      </c>
      <c r="J43" s="42" t="s">
        <v>2041</v>
      </c>
      <c r="K43" s="42" t="s">
        <v>221</v>
      </c>
      <c r="L43" s="43" t="s"/>
      <c r="M43" s="43" t="s"/>
      <c r="N43" s="43" t="s"/>
      <c r="O43" s="43" t="s"/>
      <c r="P43" s="43" t="s"/>
      <c r="Q43" s="43" t="s"/>
      <c r="R43" s="43" t="s"/>
      <c r="S43" s="43" t="s"/>
      <c r="T43" s="43" t="s"/>
      <c r="U43" s="42" t="s">
        <v>222</v>
      </c>
      <c r="V43" s="43" t="s"/>
    </row>
    <row r="44" spans="1:22">
      <c r="A44" s="42" t="s">
        <v>272</v>
      </c>
      <c r="B44" s="43" t="s"/>
      <c r="C44" s="42" t="s">
        <v>2042</v>
      </c>
      <c r="D44" s="42" t="s">
        <v>2043</v>
      </c>
      <c r="E44" s="42" t="s">
        <v>2044</v>
      </c>
      <c r="F44" s="42" t="s">
        <v>2040</v>
      </c>
      <c r="G44" s="42" t="s">
        <v>19</v>
      </c>
      <c r="H44" s="42" t="s">
        <v>1876</v>
      </c>
      <c r="I44" s="43" t="s"/>
      <c r="J44" s="42" t="s">
        <v>2045</v>
      </c>
      <c r="K44" s="42" t="s">
        <v>221</v>
      </c>
      <c r="L44" s="43" t="s"/>
      <c r="M44" s="43" t="s"/>
      <c r="N44" s="43" t="s"/>
      <c r="O44" s="43" t="s"/>
      <c r="P44" s="43" t="s"/>
      <c r="Q44" s="43" t="s"/>
      <c r="R44" s="43" t="s"/>
      <c r="S44" s="43" t="s"/>
      <c r="T44" s="43" t="s"/>
      <c r="U44" s="42" t="s">
        <v>222</v>
      </c>
      <c r="V44" s="42" t="s">
        <v>2046</v>
      </c>
    </row>
    <row r="45" spans="1:22">
      <c r="A45" s="42" t="s">
        <v>272</v>
      </c>
      <c r="B45" s="43" t="s"/>
      <c r="C45" s="42" t="s">
        <v>2047</v>
      </c>
      <c r="D45" s="42" t="s">
        <v>2048</v>
      </c>
      <c r="E45" s="42" t="s">
        <v>2049</v>
      </c>
      <c r="F45" s="42" t="s">
        <v>12</v>
      </c>
      <c r="G45" s="42" t="s">
        <v>19</v>
      </c>
      <c r="H45" s="42" t="s">
        <v>1876</v>
      </c>
      <c r="I45" s="42" t="s">
        <v>2050</v>
      </c>
      <c r="J45" s="42" t="s">
        <v>2051</v>
      </c>
      <c r="K45" s="42" t="s">
        <v>221</v>
      </c>
      <c r="L45" s="43" t="s"/>
      <c r="M45" s="43" t="s"/>
      <c r="N45" s="43" t="s"/>
      <c r="O45" s="43" t="s"/>
      <c r="P45" s="43" t="s"/>
      <c r="Q45" s="43" t="s"/>
      <c r="R45" s="43" t="s"/>
      <c r="S45" s="43" t="s"/>
      <c r="T45" s="43" t="s"/>
      <c r="U45" s="42" t="s">
        <v>222</v>
      </c>
      <c r="V45" s="42" t="s">
        <v>2052</v>
      </c>
    </row>
    <row r="46" spans="1:22">
      <c r="A46" s="42" t="s">
        <v>272</v>
      </c>
      <c r="B46" s="43" t="s"/>
      <c r="C46" s="42" t="s">
        <v>2053</v>
      </c>
      <c r="D46" s="42" t="s">
        <v>2054</v>
      </c>
      <c r="E46" s="42" t="s">
        <v>2055</v>
      </c>
      <c r="F46" s="42" t="s">
        <v>12</v>
      </c>
      <c r="G46" s="42" t="s">
        <v>19</v>
      </c>
      <c r="H46" s="42" t="s">
        <v>1876</v>
      </c>
      <c r="I46" s="42" t="s">
        <v>1911</v>
      </c>
      <c r="J46" s="42" t="s">
        <v>2056</v>
      </c>
      <c r="K46" s="42" t="s">
        <v>221</v>
      </c>
      <c r="L46" s="43" t="s"/>
      <c r="M46" s="43" t="s"/>
      <c r="N46" s="43" t="s"/>
      <c r="O46" s="43" t="s"/>
      <c r="P46" s="43" t="s"/>
      <c r="Q46" s="43" t="s"/>
      <c r="R46" s="43" t="s"/>
      <c r="S46" s="43" t="s"/>
      <c r="T46" s="43" t="s"/>
      <c r="U46" s="43" t="s"/>
      <c r="V46" s="43" t="s"/>
    </row>
    <row r="47" spans="1:22">
      <c r="A47" s="42" t="s">
        <v>272</v>
      </c>
      <c r="B47" s="43" t="s"/>
      <c r="C47" s="42" t="s">
        <v>117</v>
      </c>
      <c r="D47" s="42" t="s">
        <v>116</v>
      </c>
      <c r="E47" s="42" t="s">
        <v>118</v>
      </c>
      <c r="F47" s="42" t="s">
        <v>119</v>
      </c>
      <c r="G47" s="42" t="s">
        <v>19</v>
      </c>
      <c r="H47" s="42" t="s">
        <v>1876</v>
      </c>
      <c r="I47" s="42" t="s">
        <v>219</v>
      </c>
      <c r="J47" s="42" t="s">
        <v>2057</v>
      </c>
      <c r="K47" s="42" t="s">
        <v>221</v>
      </c>
      <c r="L47" s="43" t="s"/>
      <c r="M47" s="43" t="s"/>
      <c r="N47" s="43" t="s"/>
      <c r="O47" s="43" t="s"/>
      <c r="P47" s="43" t="s"/>
      <c r="Q47" s="43" t="s"/>
      <c r="R47" s="43" t="s"/>
      <c r="S47" s="43" t="s"/>
      <c r="T47" s="43" t="s"/>
      <c r="U47" s="43" t="s"/>
      <c r="V47" s="43" t="s"/>
    </row>
    <row r="48" spans="1:22">
      <c r="A48" s="42" t="s">
        <v>272</v>
      </c>
      <c r="B48" s="43" t="s"/>
      <c r="C48" s="43" t="s"/>
      <c r="D48" s="42" t="s">
        <v>22</v>
      </c>
      <c r="E48" s="42" t="s">
        <v>23</v>
      </c>
      <c r="F48" s="42" t="s">
        <v>24</v>
      </c>
      <c r="G48" s="42" t="s">
        <v>19</v>
      </c>
      <c r="H48" s="42" t="s">
        <v>1876</v>
      </c>
      <c r="I48" s="42" t="s">
        <v>219</v>
      </c>
      <c r="J48" s="43" t="s"/>
      <c r="K48" s="42" t="s">
        <v>221</v>
      </c>
      <c r="L48" s="43" t="s"/>
      <c r="M48" s="43" t="s"/>
      <c r="N48" s="43" t="s"/>
      <c r="O48" s="43" t="s"/>
      <c r="P48" s="43" t="s"/>
      <c r="Q48" s="43" t="s"/>
      <c r="R48" s="43" t="s"/>
      <c r="S48" s="43" t="s"/>
      <c r="T48" s="43" t="s"/>
      <c r="U48" s="43" t="s"/>
      <c r="V48" s="43" t="s"/>
    </row>
    <row r="49" spans="4:9">
      <c r="D49" s="339" t="s">
        <v>1199</v>
      </c>
      <c r="E49" s="340" t="s">
        <v>1200</v>
      </c>
      <c r="F49" s="341" t="s">
        <v>258</v>
      </c>
      <c r="G49" s="341" t="s">
        <v>19</v>
      </c>
      <c r="I49" s="342" t="s">
        <v>1201</v>
      </c>
    </row>
    <row r="50" spans="4:11">
      <c r="D50" s="13" t="s"/>
      <c r="E50" s="343" t="s">
        <v>1202</v>
      </c>
      <c r="F50" s="13" t="s"/>
      <c r="G50" s="13" t="s"/>
      <c r="H50" s="13" t="s"/>
      <c r="I50" s="13" t="s"/>
      <c r="J50" s="13" t="s"/>
      <c r="K50" s="344" t="s">
        <v>1203</v>
      </c>
    </row>
    <row r="51" spans="1:25"/>
    <row r="52" spans="1:25"/>
    <row r="53" spans="1:25"/>
    <row r="54" spans="1:25"/>
    <row r="55" spans="1:25"/>
    <row r="56" spans="1:25"/>
    <row r="57" spans="1:25"/>
    <row r="58" spans="1:25"/>
    <row r="59" spans="1:25"/>
    <row r="60" spans="1:25"/>
    <row r="61" spans="1:25"/>
    <row r="62" spans="1:25"/>
    <row r="63" spans="1:25"/>
    <row r="64" spans="1:25"/>
    <row r="65" spans="1:25"/>
    <row r="66" spans="1:25"/>
    <row r="67" spans="1:25"/>
    <row r="68" spans="1:25"/>
    <row r="69" spans="1:25"/>
    <row r="70" spans="1:25"/>
    <row r="71" spans="1:25"/>
    <row r="72" spans="1:25"/>
    <row r="73" spans="1:25"/>
    <row r="74" spans="1:25"/>
    <row r="75" spans="1:25"/>
    <row r="76" spans="1:25"/>
    <row r="77" spans="1:25"/>
    <row r="78" spans="1:25"/>
    <row r="79" spans="1:25"/>
    <row r="80" spans="1:25"/>
    <row r="81" spans="1:25"/>
    <row r="82" spans="1:25"/>
    <row r="83" spans="1:25"/>
    <row r="84" spans="1:25"/>
    <row r="85" spans="1:25"/>
    <row r="86" spans="1:25"/>
    <row r="87" spans="1:25"/>
    <row r="88" spans="1:25"/>
    <row r="89" spans="1:25"/>
    <row r="90" spans="1:25"/>
    <row r="91" spans="1:25"/>
    <row r="92" spans="1:25"/>
    <row r="93" spans="1:25"/>
    <row r="94" spans="1:25"/>
    <row r="95" spans="1:25"/>
    <row r="96" spans="1:25"/>
    <row r="97" spans="1:25"/>
    <row r="98" spans="1:25"/>
    <row r="99" spans="1:25"/>
    <row r="100" spans="1:25"/>
    <row r="101" spans="1:25"/>
    <row r="102" spans="1:25"/>
    <row r="103" spans="1:25"/>
    <row r="104" spans="1:25"/>
    <row r="105" spans="1:25"/>
    <row r="106" spans="1:25"/>
    <row r="107" spans="1:25"/>
    <row r="108" spans="1:25"/>
    <row r="109" spans="1:25"/>
    <row r="110" spans="1:25"/>
    <row r="111" spans="1:25"/>
    <row r="112" spans="1:25"/>
    <row r="113" spans="1:25"/>
    <row r="114" spans="1:25"/>
    <row r="115" spans="1:25"/>
    <row r="116" spans="1:25"/>
    <row r="117" spans="1:25"/>
    <row r="118" spans="1:25"/>
    <row r="119" spans="1:25"/>
    <row r="120" spans="1:25"/>
    <row r="121" spans="1:25"/>
    <row r="122" spans="1:25"/>
    <row r="123" spans="1:25"/>
    <row r="124" spans="1:25"/>
    <row r="125" spans="1:25"/>
    <row r="126" spans="1:25"/>
    <row r="127" spans="1:25"/>
    <row r="128" spans="1:25"/>
    <row r="129" spans="1:25"/>
    <row r="130" spans="1:25"/>
    <row r="131" spans="1:25"/>
    <row r="132" spans="1:25"/>
    <row r="133" spans="1:25"/>
    <row r="134" spans="1:25"/>
    <row r="135" spans="1:25"/>
    <row r="136" spans="1:25"/>
    <row r="137" spans="1:25"/>
    <row r="138" spans="1:25"/>
    <row r="139" spans="1:25"/>
    <row r="140" spans="1:25"/>
    <row r="141" spans="1:25"/>
    <row r="142" spans="1:25"/>
    <row r="143" spans="1:25"/>
    <row r="144" spans="1:25"/>
    <row r="145" spans="1:25"/>
    <row r="146" spans="1:25"/>
    <row r="147" spans="1:25"/>
    <row r="148" spans="1:25"/>
    <row r="149" spans="1:25"/>
    <row r="150" spans="1:25"/>
    <row r="151" spans="1:25"/>
    <row r="152" spans="1:25"/>
    <row r="153" spans="1:25"/>
    <row r="154" spans="1:25"/>
    <row r="155" spans="1:25"/>
    <row r="156" spans="1:25"/>
    <row r="157" spans="1:25"/>
    <row r="158" spans="1:25"/>
    <row r="159" spans="1:25"/>
    <row r="160" spans="1:25"/>
    <row r="161" spans="1:25"/>
    <row r="162" spans="1:25"/>
    <row r="163" spans="1:25"/>
    <row r="164" spans="1:25"/>
    <row r="165" spans="1:25"/>
    <row r="166" spans="1:25"/>
    <row r="167" spans="1:25"/>
    <row r="168" spans="1:25"/>
    <row r="169" spans="1:25"/>
    <row r="170" spans="1:25"/>
    <row r="171" spans="1:25"/>
    <row r="172" spans="1:25"/>
    <row r="173" spans="1:25"/>
    <row r="174" spans="1:25"/>
    <row r="175" spans="1:25"/>
    <row r="176" spans="1:25"/>
    <row r="177" spans="1:25"/>
    <row r="178" spans="1:25"/>
    <row r="179" spans="1:25"/>
    <row r="180" spans="1:25"/>
    <row r="181" spans="1:25"/>
    <row r="182" spans="1:25"/>
    <row r="183" spans="1:25"/>
    <row r="184" spans="1:25"/>
    <row r="185" spans="1:25"/>
    <row r="186" spans="1:25"/>
    <row r="187" spans="1:25"/>
    <row r="188" spans="1:25"/>
    <row r="189" spans="1:25"/>
    <row r="190" spans="1:25"/>
    <row r="191" spans="1:25"/>
    <row r="192" spans="1:25"/>
    <row r="193" spans="1:25"/>
    <row r="194" spans="1:25"/>
    <row r="195" spans="1:25"/>
    <row r="196" spans="1:25"/>
    <row r="197" spans="1:25"/>
    <row r="198" spans="1:25"/>
    <row r="199" spans="1:25"/>
    <row r="200" spans="1:25"/>
  </sheetData>
</worksheet>
</file>

<file path=xl/worksheets/sheet30.xml><?xml version="1.0" encoding="utf-8"?>
<worksheet xmlns="http://schemas.openxmlformats.org/spreadsheetml/2006/main">
  <sheetPr codeName="wafer_因子聚合">
    <tabColor rgb="FFD8D8D8"/>
  </sheetPr>
  <dimension ref="V15"/>
  <sheetViews>
    <sheetView showGridLines="true" workbookViewId="0"/>
  </sheetViews>
  <sheetFormatPr baseColWidth="13" defaultRowHeight="18" customHeight="true"/>
  <cols>
    <col min="1" max="1" width="46.7109" customWidth="true"/>
    <col min="2" max="2" width="98.7109" customWidth="true"/>
    <col min="3" max="3" width="33.7109" customWidth="true"/>
    <col min="4" max="4" width="42.7109" customWidth="true"/>
    <col min="5" max="5" width="55.7109" customWidth="true"/>
    <col min="6" max="6" width="27.7109" customWidth="true"/>
    <col min="7" max="7" width="25.7109" customWidth="true"/>
    <col min="8" max="8" width="72.7109" customWidth="true"/>
    <col min="9" max="9" width="55.7109" customWidth="true"/>
    <col min="10" max="10" width="111.711" customWidth="true"/>
    <col min="11" max="11" width="33.7109" customWidth="true"/>
    <col min="12" max="12" width="12.7109" customWidth="true"/>
    <col min="13" max="13" width="14.7109" customWidth="true"/>
    <col min="14" max="14" width="12.7109" customWidth="true"/>
    <col min="15" max="15" width="10.7109" customWidth="true"/>
    <col min="16" max="17" width="14.7109" customWidth="true"/>
    <col min="18" max="19" width="10.7109" customWidth="true"/>
    <col min="20" max="20" width="16.7109" customWidth="true"/>
    <col min="21" max="21" width="42.7109" customWidth="true"/>
    <col min="22" max="22" width="38.7109" customWidth="true"/>
  </cols>
  <sheetData>
    <row r="1" spans="1:22">
      <c r="A1" s="39" t="s">
        <v>199</v>
      </c>
      <c r="B1" s="40" t="s"/>
      <c r="C1" s="40" t="s"/>
      <c r="D1" s="40" t="s"/>
      <c r="E1" s="40" t="s"/>
      <c r="F1" s="40" t="s"/>
      <c r="G1" s="40" t="s"/>
      <c r="H1" s="40" t="s"/>
      <c r="I1" s="40" t="s"/>
      <c r="J1" s="40" t="s"/>
      <c r="K1" s="40" t="s"/>
      <c r="L1" s="40" t="s"/>
      <c r="M1" s="40" t="s"/>
      <c r="N1" s="40" t="s"/>
      <c r="O1" s="40" t="s"/>
      <c r="P1" s="40" t="s"/>
      <c r="Q1" s="40" t="s"/>
      <c r="R1" s="40" t="s"/>
      <c r="S1" s="40" t="s"/>
      <c r="T1" s="40" t="s"/>
      <c r="U1" s="40" t="s"/>
      <c r="V1" s="40" t="s"/>
    </row>
    <row r="2" spans="1:22">
      <c r="A2" s="41" t="s">
        <v>200</v>
      </c>
      <c r="B2" s="41" t="s">
        <v>201</v>
      </c>
      <c r="C2" s="41" t="s">
        <v>202</v>
      </c>
      <c r="D2" s="41" t="s">
        <v>4</v>
      </c>
      <c r="E2" s="41" t="s">
        <v>5</v>
      </c>
      <c r="F2" s="41" t="s">
        <v>6</v>
      </c>
      <c r="G2" s="41" t="s">
        <v>7</v>
      </c>
      <c r="H2" s="41" t="s">
        <v>8</v>
      </c>
      <c r="I2" s="41" t="s">
        <v>203</v>
      </c>
      <c r="J2" s="41" t="s">
        <v>9</v>
      </c>
      <c r="K2" s="41" t="s">
        <v>204</v>
      </c>
      <c r="L2" s="41" t="s">
        <v>205</v>
      </c>
      <c r="M2" s="41" t="s">
        <v>158</v>
      </c>
      <c r="N2" s="41" t="s">
        <v>206</v>
      </c>
      <c r="O2" s="41" t="s">
        <v>207</v>
      </c>
      <c r="P2" s="41" t="s">
        <v>208</v>
      </c>
      <c r="Q2" s="41" t="s">
        <v>209</v>
      </c>
      <c r="R2" s="41" t="s">
        <v>210</v>
      </c>
      <c r="S2" s="41" t="s">
        <v>175</v>
      </c>
      <c r="T2" s="41" t="s">
        <v>211</v>
      </c>
      <c r="U2" s="41" t="s">
        <v>212</v>
      </c>
      <c r="V2" s="41" t="s">
        <v>213</v>
      </c>
    </row>
    <row r="3" spans="1:22">
      <c r="A3" s="42" t="s">
        <v>214</v>
      </c>
      <c r="B3" s="43" t="s"/>
      <c r="C3" s="42" t="s">
        <v>215</v>
      </c>
      <c r="D3" s="42" t="s">
        <v>216</v>
      </c>
      <c r="E3" s="42" t="s">
        <v>217</v>
      </c>
      <c r="F3" s="42" t="s">
        <v>12</v>
      </c>
      <c r="G3" s="42" t="s">
        <v>19</v>
      </c>
      <c r="H3" s="42" t="s">
        <v>218</v>
      </c>
      <c r="I3" s="42" t="s">
        <v>219</v>
      </c>
      <c r="J3" s="42" t="s">
        <v>220</v>
      </c>
      <c r="K3" s="42" t="s">
        <v>221</v>
      </c>
      <c r="L3" s="43" t="s"/>
      <c r="M3" s="43" t="s"/>
      <c r="N3" s="43" t="s"/>
      <c r="O3" s="43" t="s"/>
      <c r="P3" s="43" t="s"/>
      <c r="Q3" s="43" t="s"/>
      <c r="R3" s="43" t="s"/>
      <c r="S3" s="43" t="s"/>
      <c r="T3" s="43" t="s"/>
      <c r="U3" s="42" t="s">
        <v>222</v>
      </c>
      <c r="V3" s="43" t="s"/>
    </row>
    <row r="4" spans="1:22">
      <c r="A4" s="42" t="s">
        <v>214</v>
      </c>
      <c r="B4" s="43" t="s"/>
      <c r="C4" s="42" t="s">
        <v>223</v>
      </c>
      <c r="D4" s="42" t="s">
        <v>224</v>
      </c>
      <c r="E4" s="42" t="s">
        <v>225</v>
      </c>
      <c r="F4" s="42" t="s">
        <v>12</v>
      </c>
      <c r="G4" s="42" t="s">
        <v>19</v>
      </c>
      <c r="H4" s="42" t="s">
        <v>218</v>
      </c>
      <c r="I4" s="42" t="s">
        <v>219</v>
      </c>
      <c r="J4" s="42" t="s">
        <v>226</v>
      </c>
      <c r="K4" s="42" t="s">
        <v>221</v>
      </c>
      <c r="L4" s="43" t="s"/>
      <c r="M4" s="43" t="s"/>
      <c r="N4" s="43" t="s"/>
      <c r="O4" s="43" t="s"/>
      <c r="P4" s="43" t="s"/>
      <c r="Q4" s="43" t="s"/>
      <c r="R4" s="43" t="s"/>
      <c r="S4" s="43" t="s"/>
      <c r="T4" s="43" t="s"/>
      <c r="U4" s="43" t="s"/>
      <c r="V4" s="43" t="s"/>
    </row>
    <row r="5" spans="1:22">
      <c r="A5" s="42" t="s">
        <v>214</v>
      </c>
      <c r="B5" s="43" t="s"/>
      <c r="C5" s="42" t="s">
        <v>227</v>
      </c>
      <c r="D5" s="42" t="s">
        <v>228</v>
      </c>
      <c r="E5" s="42" t="s">
        <v>229</v>
      </c>
      <c r="F5" s="42" t="s">
        <v>12</v>
      </c>
      <c r="G5" s="42" t="s">
        <v>19</v>
      </c>
      <c r="H5" s="42" t="s">
        <v>218</v>
      </c>
      <c r="I5" s="42" t="s">
        <v>230</v>
      </c>
      <c r="J5" s="42" t="s">
        <v>231</v>
      </c>
      <c r="K5" s="42" t="s">
        <v>221</v>
      </c>
      <c r="L5" s="43" t="s"/>
      <c r="M5" s="43" t="s"/>
      <c r="N5" s="43" t="s"/>
      <c r="O5" s="43" t="s"/>
      <c r="P5" s="43" t="s"/>
      <c r="Q5" s="43" t="s"/>
      <c r="R5" s="43" t="s"/>
      <c r="S5" s="43" t="s"/>
      <c r="T5" s="43" t="s"/>
      <c r="U5" s="42" t="s">
        <v>222</v>
      </c>
      <c r="V5" s="43" t="s"/>
    </row>
    <row r="6" spans="1:22">
      <c r="A6" s="42" t="s">
        <v>232</v>
      </c>
      <c r="B6" s="42" t="s">
        <v>233</v>
      </c>
      <c r="C6" s="42" t="s">
        <v>234</v>
      </c>
      <c r="D6" s="42" t="s">
        <v>235</v>
      </c>
      <c r="E6" s="42" t="s">
        <v>236</v>
      </c>
      <c r="F6" s="42" t="s">
        <v>12</v>
      </c>
      <c r="G6" s="42" t="s">
        <v>19</v>
      </c>
      <c r="H6" s="42" t="s">
        <v>218</v>
      </c>
      <c r="I6" s="42" t="s">
        <v>237</v>
      </c>
      <c r="J6" s="42" t="s">
        <v>238</v>
      </c>
      <c r="K6" s="42" t="s">
        <v>221</v>
      </c>
      <c r="L6" s="43" t="s"/>
      <c r="M6" s="43" t="s"/>
      <c r="N6" s="43" t="s"/>
      <c r="O6" s="43" t="s"/>
      <c r="P6" s="43" t="s"/>
      <c r="Q6" s="43" t="s"/>
      <c r="R6" s="43" t="s"/>
      <c r="S6" s="43" t="s"/>
      <c r="T6" s="43" t="s"/>
      <c r="U6" s="43" t="s"/>
      <c r="V6" s="43" t="s"/>
    </row>
    <row r="7" spans="1:22">
      <c r="A7" s="42" t="s">
        <v>239</v>
      </c>
      <c r="B7" s="42" t="s">
        <v>240</v>
      </c>
      <c r="C7" s="42" t="s">
        <v>241</v>
      </c>
      <c r="D7" s="42" t="s">
        <v>242</v>
      </c>
      <c r="E7" s="42" t="s">
        <v>243</v>
      </c>
      <c r="F7" s="42" t="s">
        <v>12</v>
      </c>
      <c r="G7" s="42" t="s">
        <v>19</v>
      </c>
      <c r="H7" s="42" t="s">
        <v>218</v>
      </c>
      <c r="I7" s="42" t="s">
        <v>244</v>
      </c>
      <c r="J7" s="42" t="s">
        <v>245</v>
      </c>
      <c r="K7" s="42" t="s">
        <v>221</v>
      </c>
      <c r="L7" s="43" t="s"/>
      <c r="M7" s="43" t="s"/>
      <c r="N7" s="43" t="s"/>
      <c r="O7" s="43" t="s"/>
      <c r="P7" s="43" t="s"/>
      <c r="Q7" s="43" t="s"/>
      <c r="R7" s="43" t="s"/>
      <c r="S7" s="43" t="s"/>
      <c r="T7" s="43" t="s"/>
      <c r="U7" s="43" t="s"/>
      <c r="V7" s="43" t="s"/>
    </row>
    <row r="8" spans="1:22">
      <c r="A8" s="42" t="s">
        <v>239</v>
      </c>
      <c r="B8" s="42" t="s">
        <v>246</v>
      </c>
      <c r="C8" s="42" t="s">
        <v>247</v>
      </c>
      <c r="D8" s="42" t="s">
        <v>247</v>
      </c>
      <c r="E8" s="42" t="s">
        <v>248</v>
      </c>
      <c r="F8" s="42" t="s">
        <v>12</v>
      </c>
      <c r="G8" s="42" t="s">
        <v>19</v>
      </c>
      <c r="H8" s="42" t="s">
        <v>218</v>
      </c>
      <c r="I8" s="42" t="s">
        <v>249</v>
      </c>
      <c r="J8" s="42" t="s">
        <v>250</v>
      </c>
      <c r="K8" s="42" t="s">
        <v>221</v>
      </c>
      <c r="L8" s="43" t="s"/>
      <c r="M8" s="43" t="s"/>
      <c r="N8" s="43" t="s"/>
      <c r="O8" s="43" t="s"/>
      <c r="P8" s="43" t="s"/>
      <c r="Q8" s="43" t="s"/>
      <c r="R8" s="43" t="s"/>
      <c r="S8" s="43" t="s"/>
      <c r="T8" s="43" t="s"/>
      <c r="U8" s="43" t="s"/>
      <c r="V8" s="43" t="s"/>
    </row>
    <row r="9" spans="1:22">
      <c r="A9" s="42" t="s">
        <v>239</v>
      </c>
      <c r="B9" s="42" t="s">
        <v>251</v>
      </c>
      <c r="C9" s="42" t="s">
        <v>252</v>
      </c>
      <c r="D9" s="42" t="s">
        <v>252</v>
      </c>
      <c r="E9" s="42" t="s">
        <v>253</v>
      </c>
      <c r="F9" s="42" t="s">
        <v>12</v>
      </c>
      <c r="G9" s="42" t="s">
        <v>19</v>
      </c>
      <c r="H9" s="42" t="s">
        <v>218</v>
      </c>
      <c r="I9" s="42" t="s">
        <v>244</v>
      </c>
      <c r="J9" s="42" t="s">
        <v>254</v>
      </c>
      <c r="K9" s="42" t="s">
        <v>221</v>
      </c>
      <c r="L9" s="43" t="s"/>
      <c r="M9" s="43" t="s"/>
      <c r="N9" s="43" t="s"/>
      <c r="O9" s="43" t="s"/>
      <c r="P9" s="43" t="s"/>
      <c r="Q9" s="43" t="s"/>
      <c r="R9" s="43" t="s"/>
      <c r="S9" s="43" t="s"/>
      <c r="T9" s="43" t="s"/>
      <c r="U9" s="43" t="s"/>
      <c r="V9" s="43" t="s"/>
    </row>
    <row r="10" spans="1:22">
      <c r="A10" s="42" t="s">
        <v>239</v>
      </c>
      <c r="B10" s="42" t="s">
        <v>255</v>
      </c>
      <c r="C10" s="42" t="s">
        <v>256</v>
      </c>
      <c r="D10" s="42" t="s">
        <v>256</v>
      </c>
      <c r="E10" s="42" t="s">
        <v>257</v>
      </c>
      <c r="F10" s="42" t="s">
        <v>258</v>
      </c>
      <c r="G10" s="42" t="s">
        <v>19</v>
      </c>
      <c r="H10" s="42" t="s">
        <v>218</v>
      </c>
      <c r="I10" s="42" t="s">
        <v>259</v>
      </c>
      <c r="J10" s="42" t="s">
        <v>260</v>
      </c>
      <c r="K10" s="42" t="s">
        <v>221</v>
      </c>
      <c r="L10" s="43" t="s"/>
      <c r="M10" s="43" t="s"/>
      <c r="N10" s="43" t="s"/>
      <c r="O10" s="43" t="s"/>
      <c r="P10" s="43" t="s"/>
      <c r="Q10" s="43" t="s"/>
      <c r="R10" s="43" t="s"/>
      <c r="S10" s="43" t="s"/>
      <c r="T10" s="43" t="s"/>
      <c r="U10" s="43" t="s"/>
      <c r="V10" s="43" t="s"/>
    </row>
    <row r="11" spans="1:22">
      <c r="A11" s="42" t="s">
        <v>239</v>
      </c>
      <c r="B11" s="42" t="s">
        <v>261</v>
      </c>
      <c r="C11" s="42" t="s">
        <v>262</v>
      </c>
      <c r="D11" s="42" t="s">
        <v>263</v>
      </c>
      <c r="E11" s="42" t="s">
        <v>264</v>
      </c>
      <c r="F11" s="42" t="s">
        <v>258</v>
      </c>
      <c r="G11" s="42" t="s">
        <v>19</v>
      </c>
      <c r="H11" s="42" t="s">
        <v>218</v>
      </c>
      <c r="I11" s="43" t="s"/>
      <c r="J11" s="42" t="s">
        <v>265</v>
      </c>
      <c r="K11" s="42" t="s">
        <v>221</v>
      </c>
      <c r="L11" s="43" t="s"/>
      <c r="M11" s="43" t="s"/>
      <c r="N11" s="43" t="s"/>
      <c r="O11" s="43" t="s"/>
      <c r="P11" s="43" t="s"/>
      <c r="Q11" s="43" t="s"/>
      <c r="R11" s="43" t="s"/>
      <c r="S11" s="43" t="s"/>
      <c r="T11" s="43" t="s"/>
      <c r="U11" s="43" t="s"/>
      <c r="V11" s="43" t="s"/>
    </row>
    <row r="12" spans="1:22">
      <c r="A12" s="42" t="s">
        <v>239</v>
      </c>
      <c r="B12" s="43" t="s"/>
      <c r="C12" s="42" t="s">
        <v>266</v>
      </c>
      <c r="D12" s="42" t="s">
        <v>266</v>
      </c>
      <c r="E12" s="42" t="s">
        <v>267</v>
      </c>
      <c r="F12" s="42" t="s">
        <v>99</v>
      </c>
      <c r="G12" s="42" t="s">
        <v>19</v>
      </c>
      <c r="H12" s="42" t="s">
        <v>218</v>
      </c>
      <c r="I12" s="42" t="s">
        <v>244</v>
      </c>
      <c r="J12" s="42" t="s">
        <v>268</v>
      </c>
      <c r="K12" s="42" t="s">
        <v>221</v>
      </c>
      <c r="L12" s="43" t="s"/>
      <c r="M12" s="43" t="s"/>
      <c r="N12" s="43" t="s"/>
      <c r="O12" s="43" t="s"/>
      <c r="P12" s="43" t="s"/>
      <c r="Q12" s="43" t="s"/>
      <c r="R12" s="43" t="s"/>
      <c r="S12" s="43" t="s"/>
      <c r="T12" s="43" t="s"/>
      <c r="U12" s="43" t="s"/>
      <c r="V12" s="43" t="s"/>
    </row>
    <row r="13" spans="1:22">
      <c r="A13" s="42" t="s">
        <v>239</v>
      </c>
      <c r="B13" s="43" t="s"/>
      <c r="C13" s="42" t="s">
        <v>269</v>
      </c>
      <c r="D13" s="42" t="s">
        <v>269</v>
      </c>
      <c r="E13" s="42" t="s">
        <v>270</v>
      </c>
      <c r="F13" s="42" t="s">
        <v>99</v>
      </c>
      <c r="G13" s="42" t="s">
        <v>19</v>
      </c>
      <c r="H13" s="42" t="s">
        <v>218</v>
      </c>
      <c r="I13" s="43" t="s"/>
      <c r="J13" s="42" t="s">
        <v>271</v>
      </c>
      <c r="K13" s="42" t="s">
        <v>221</v>
      </c>
      <c r="L13" s="43" t="s"/>
      <c r="M13" s="43" t="s"/>
      <c r="N13" s="43" t="s"/>
      <c r="O13" s="43" t="s"/>
      <c r="P13" s="43" t="s"/>
      <c r="Q13" s="43" t="s"/>
      <c r="R13" s="43" t="s"/>
      <c r="S13" s="43" t="s"/>
      <c r="T13" s="43" t="s"/>
      <c r="U13" s="43" t="s"/>
      <c r="V13" s="43" t="s"/>
    </row>
    <row r="14" spans="1:22">
      <c r="A14" s="42" t="s">
        <v>272</v>
      </c>
      <c r="B14" s="43" t="s"/>
      <c r="C14" s="42" t="s">
        <v>117</v>
      </c>
      <c r="D14" s="42" t="s">
        <v>116</v>
      </c>
      <c r="E14" s="42" t="s">
        <v>118</v>
      </c>
      <c r="F14" s="42" t="s">
        <v>119</v>
      </c>
      <c r="G14" s="42" t="s">
        <v>19</v>
      </c>
      <c r="H14" s="42" t="s">
        <v>218</v>
      </c>
      <c r="I14" s="42" t="s">
        <v>219</v>
      </c>
      <c r="J14" s="43" t="s"/>
      <c r="K14" s="42" t="s">
        <v>221</v>
      </c>
      <c r="L14" s="43" t="s"/>
      <c r="M14" s="43" t="s"/>
      <c r="N14" s="43" t="s"/>
      <c r="O14" s="43" t="s"/>
      <c r="P14" s="43" t="s"/>
      <c r="Q14" s="43" t="s"/>
      <c r="R14" s="43" t="s"/>
      <c r="S14" s="43" t="s"/>
      <c r="T14" s="43" t="s"/>
      <c r="U14" s="43" t="s"/>
      <c r="V14" s="43" t="s"/>
    </row>
    <row r="15" spans="1:22">
      <c r="A15" s="42" t="s">
        <v>272</v>
      </c>
      <c r="B15" s="43" t="s"/>
      <c r="C15" s="43" t="s"/>
      <c r="D15" s="42" t="s">
        <v>22</v>
      </c>
      <c r="E15" s="42" t="s">
        <v>23</v>
      </c>
      <c r="F15" s="42" t="s">
        <v>24</v>
      </c>
      <c r="G15" s="42" t="s">
        <v>19</v>
      </c>
      <c r="H15" s="42" t="s">
        <v>218</v>
      </c>
      <c r="I15" s="42" t="s">
        <v>219</v>
      </c>
      <c r="J15" s="43" t="s"/>
      <c r="K15" s="42" t="s">
        <v>221</v>
      </c>
      <c r="L15" s="43" t="s"/>
      <c r="M15" s="43" t="s"/>
      <c r="N15" s="43" t="s"/>
      <c r="O15" s="43" t="s"/>
      <c r="P15" s="43" t="s"/>
      <c r="Q15" s="43" t="s"/>
      <c r="R15" s="43" t="s"/>
      <c r="S15" s="43" t="s"/>
      <c r="T15" s="43" t="s"/>
      <c r="U15" s="43" t="s"/>
      <c r="V15" s="43" t="s"/>
    </row>
  </sheetData>
</worksheet>
</file>

<file path=xl/worksheets/sheet31.xml><?xml version="1.0" encoding="utf-8"?>
<worksheet xmlns="http://schemas.openxmlformats.org/spreadsheetml/2006/main">
  <sheetPr codeName="Wafer聚合">
    <tabColor rgb="FFD8D8D8"/>
  </sheetPr>
  <dimension ref="V42"/>
  <sheetViews>
    <sheetView showGridLines="true" workbookViewId="0"/>
  </sheetViews>
  <sheetFormatPr baseColWidth="13" defaultRowHeight="18" customHeight="true"/>
  <cols>
    <col min="1" max="1" width="46.7109" customWidth="true"/>
    <col min="2" max="2" width="98.7109" customWidth="true"/>
    <col min="3" max="3" width="33.7109" customWidth="true"/>
    <col min="4" max="4" width="42.7109" customWidth="true"/>
    <col min="5" max="5" width="55.7109" customWidth="true"/>
    <col min="6" max="6" width="27.7109" customWidth="true"/>
    <col min="7" max="7" width="25.7109" customWidth="true"/>
    <col min="8" max="8" width="69.0625" style="474" customWidth="true"/>
    <col min="9" max="9" width="55.7109" customWidth="true"/>
    <col min="10" max="10" width="111.711" customWidth="true"/>
    <col min="11" max="11" width="33.7109" customWidth="true"/>
    <col min="12" max="12" width="12.7109" customWidth="true"/>
    <col min="13" max="13" width="14.7109" customWidth="true"/>
    <col min="14" max="14" width="12.7109" customWidth="true"/>
    <col min="15" max="15" width="10.7109" customWidth="true"/>
    <col min="16" max="17" width="14.7109" customWidth="true"/>
    <col min="18" max="19" width="10.7109" customWidth="true"/>
    <col min="20" max="20" width="16.7109" customWidth="true"/>
    <col min="21" max="21" width="42.7109" customWidth="true"/>
    <col min="22" max="22" width="38.7109" customWidth="true"/>
  </cols>
  <sheetData>
    <row r="1" spans="1:22">
      <c r="A1" s="39" t="s">
        <v>2533</v>
      </c>
      <c r="B1" s="40" t="s"/>
      <c r="C1" s="40" t="s"/>
      <c r="D1" s="40" t="s"/>
      <c r="E1" s="40" t="s"/>
      <c r="F1" s="40" t="s"/>
      <c r="G1" s="40" t="s"/>
      <c r="H1" s="381" t="s"/>
      <c r="I1" s="40" t="s"/>
      <c r="J1" s="40" t="s"/>
      <c r="K1" s="40" t="s"/>
      <c r="L1" s="40" t="s"/>
      <c r="M1" s="40" t="s"/>
      <c r="N1" s="40" t="s"/>
      <c r="O1" s="40" t="s"/>
      <c r="P1" s="40" t="s"/>
      <c r="Q1" s="40" t="s"/>
      <c r="R1" s="40" t="s"/>
      <c r="S1" s="40" t="s"/>
      <c r="T1" s="40" t="s"/>
      <c r="U1" s="40" t="s"/>
      <c r="V1" s="40" t="s"/>
    </row>
    <row r="2" spans="1:22">
      <c r="A2" s="41" t="s">
        <v>200</v>
      </c>
      <c r="B2" s="41" t="s">
        <v>201</v>
      </c>
      <c r="C2" s="41" t="s">
        <v>202</v>
      </c>
      <c r="D2" s="41" t="s">
        <v>4</v>
      </c>
      <c r="E2" s="41" t="s">
        <v>5</v>
      </c>
      <c r="F2" s="41" t="s">
        <v>6</v>
      </c>
      <c r="G2" s="41" t="s">
        <v>7</v>
      </c>
      <c r="H2" s="382" t="s">
        <v>8</v>
      </c>
      <c r="I2" s="41" t="s">
        <v>203</v>
      </c>
      <c r="J2" s="41" t="s">
        <v>9</v>
      </c>
      <c r="K2" s="41" t="s">
        <v>204</v>
      </c>
      <c r="L2" s="41" t="s">
        <v>205</v>
      </c>
      <c r="M2" s="41" t="s">
        <v>158</v>
      </c>
      <c r="N2" s="41" t="s">
        <v>206</v>
      </c>
      <c r="O2" s="41" t="s">
        <v>207</v>
      </c>
      <c r="P2" s="41" t="s">
        <v>208</v>
      </c>
      <c r="Q2" s="41" t="s">
        <v>209</v>
      </c>
      <c r="R2" s="41" t="s">
        <v>210</v>
      </c>
      <c r="S2" s="41" t="s">
        <v>175</v>
      </c>
      <c r="T2" s="41" t="s">
        <v>211</v>
      </c>
      <c r="U2" s="41" t="s">
        <v>212</v>
      </c>
      <c r="V2" s="41" t="s">
        <v>213</v>
      </c>
    </row>
    <row r="3" spans="1:22">
      <c r="A3" s="42" t="s">
        <v>214</v>
      </c>
      <c r="B3" s="43" t="s"/>
      <c r="C3" s="42" t="s">
        <v>215</v>
      </c>
      <c r="D3" s="42" t="s">
        <v>2534</v>
      </c>
      <c r="E3" s="42" t="s">
        <v>217</v>
      </c>
      <c r="F3" s="42" t="s">
        <v>12</v>
      </c>
      <c r="G3" s="42" t="s">
        <v>19</v>
      </c>
      <c r="H3" s="329" t="s">
        <v>2535</v>
      </c>
      <c r="I3" s="42" t="s">
        <v>219</v>
      </c>
      <c r="J3" s="42" t="s">
        <v>2536</v>
      </c>
      <c r="K3" s="42" t="s">
        <v>221</v>
      </c>
      <c r="L3" s="43" t="s"/>
      <c r="M3" s="43" t="s"/>
      <c r="N3" s="43" t="s"/>
      <c r="O3" s="43" t="s"/>
      <c r="P3" s="43" t="s"/>
      <c r="Q3" s="43" t="s"/>
      <c r="R3" s="43" t="s"/>
      <c r="S3" s="43" t="s"/>
      <c r="T3" s="43" t="s"/>
      <c r="U3" s="42" t="s">
        <v>222</v>
      </c>
      <c r="V3" s="43" t="s"/>
    </row>
    <row r="4" spans="1:22">
      <c r="A4" s="42" t="s">
        <v>214</v>
      </c>
      <c r="B4" s="43" t="s"/>
      <c r="C4" s="42" t="s">
        <v>223</v>
      </c>
      <c r="D4" s="42" t="s">
        <v>224</v>
      </c>
      <c r="E4" s="42" t="s">
        <v>225</v>
      </c>
      <c r="F4" s="42" t="s">
        <v>12</v>
      </c>
      <c r="G4" s="42" t="s">
        <v>19</v>
      </c>
      <c r="H4" s="329" t="s">
        <v>2535</v>
      </c>
      <c r="I4" s="42" t="s">
        <v>219</v>
      </c>
      <c r="J4" s="42" t="s">
        <v>2537</v>
      </c>
      <c r="K4" s="42" t="s">
        <v>221</v>
      </c>
      <c r="L4" s="43" t="s"/>
      <c r="M4" s="43" t="s"/>
      <c r="N4" s="43" t="s"/>
      <c r="O4" s="43" t="s"/>
      <c r="P4" s="43" t="s"/>
      <c r="Q4" s="43" t="s"/>
      <c r="R4" s="43" t="s"/>
      <c r="S4" s="43" t="s"/>
      <c r="T4" s="43" t="s"/>
      <c r="U4" s="43" t="s"/>
      <c r="V4" s="43" t="s"/>
    </row>
    <row r="5" spans="1:22">
      <c r="A5" s="42" t="s">
        <v>214</v>
      </c>
      <c r="B5" s="42" t="s">
        <v>2538</v>
      </c>
      <c r="C5" s="42" t="s">
        <v>227</v>
      </c>
      <c r="D5" s="42" t="s">
        <v>228</v>
      </c>
      <c r="E5" s="42" t="s">
        <v>229</v>
      </c>
      <c r="F5" s="42" t="s">
        <v>12</v>
      </c>
      <c r="G5" s="42" t="s">
        <v>19</v>
      </c>
      <c r="H5" s="329" t="s">
        <v>2535</v>
      </c>
      <c r="I5" s="42" t="s">
        <v>230</v>
      </c>
      <c r="J5" s="42" t="s">
        <v>2539</v>
      </c>
      <c r="K5" s="42" t="s">
        <v>221</v>
      </c>
      <c r="L5" s="43" t="s"/>
      <c r="M5" s="43" t="s"/>
      <c r="N5" s="43" t="s"/>
      <c r="O5" s="43" t="s"/>
      <c r="P5" s="43" t="s"/>
      <c r="Q5" s="43" t="s"/>
      <c r="R5" s="43" t="s"/>
      <c r="S5" s="43" t="s"/>
      <c r="T5" s="43" t="s"/>
      <c r="U5" s="43" t="s"/>
      <c r="V5" s="43" t="s"/>
    </row>
    <row r="6" spans="1:22">
      <c r="A6" s="42" t="s">
        <v>232</v>
      </c>
      <c r="B6" s="42" t="s">
        <v>2540</v>
      </c>
      <c r="C6" s="42" t="s">
        <v>234</v>
      </c>
      <c r="D6" s="42" t="s">
        <v>235</v>
      </c>
      <c r="E6" s="42" t="s">
        <v>236</v>
      </c>
      <c r="F6" s="42" t="s">
        <v>12</v>
      </c>
      <c r="G6" s="42" t="s">
        <v>19</v>
      </c>
      <c r="H6" s="329" t="s">
        <v>2535</v>
      </c>
      <c r="I6" s="42" t="s">
        <v>1882</v>
      </c>
      <c r="J6" s="42" t="s">
        <v>238</v>
      </c>
      <c r="K6" s="42" t="s">
        <v>221</v>
      </c>
      <c r="L6" s="43" t="s"/>
      <c r="M6" s="43" t="s"/>
      <c r="N6" s="43" t="s"/>
      <c r="O6" s="43" t="s"/>
      <c r="P6" s="43" t="s"/>
      <c r="Q6" s="43" t="s"/>
      <c r="R6" s="43" t="s"/>
      <c r="S6" s="43" t="s"/>
      <c r="T6" s="43" t="s"/>
      <c r="U6" s="43" t="s"/>
      <c r="V6" s="43" t="s"/>
    </row>
    <row r="7" spans="1:22">
      <c r="A7" s="42" t="s">
        <v>232</v>
      </c>
      <c r="B7" s="42" t="s">
        <v>2541</v>
      </c>
      <c r="C7" s="42" t="s">
        <v>1884</v>
      </c>
      <c r="D7" s="42" t="s">
        <v>278</v>
      </c>
      <c r="E7" s="42" t="s">
        <v>279</v>
      </c>
      <c r="F7" s="42" t="s">
        <v>12</v>
      </c>
      <c r="G7" s="42" t="s">
        <v>19</v>
      </c>
      <c r="H7" s="329" t="s">
        <v>2535</v>
      </c>
      <c r="I7" s="42" t="s">
        <v>1885</v>
      </c>
      <c r="J7" s="42" t="s">
        <v>2542</v>
      </c>
      <c r="K7" s="42" t="s">
        <v>221</v>
      </c>
      <c r="L7" s="43" t="s"/>
      <c r="M7" s="43" t="s"/>
      <c r="N7" s="43" t="s"/>
      <c r="O7" s="43" t="s"/>
      <c r="P7" s="43" t="s"/>
      <c r="Q7" s="43" t="s"/>
      <c r="R7" s="43" t="s"/>
      <c r="S7" s="43" t="s"/>
      <c r="T7" s="43" t="s"/>
      <c r="U7" s="43" t="s"/>
      <c r="V7" s="43" t="s"/>
    </row>
    <row r="8" spans="1:22">
      <c r="A8" s="42" t="s">
        <v>232</v>
      </c>
      <c r="B8" s="42" t="s">
        <v>2543</v>
      </c>
      <c r="C8" s="42" t="s">
        <v>1470</v>
      </c>
      <c r="D8" s="42" t="s">
        <v>38</v>
      </c>
      <c r="E8" s="42" t="s">
        <v>39</v>
      </c>
      <c r="F8" s="42" t="s">
        <v>12</v>
      </c>
      <c r="G8" s="42" t="s">
        <v>19</v>
      </c>
      <c r="H8" s="329" t="s">
        <v>2535</v>
      </c>
      <c r="I8" s="42" t="s">
        <v>1889</v>
      </c>
      <c r="J8" s="42" t="s">
        <v>2544</v>
      </c>
      <c r="K8" s="42" t="s">
        <v>221</v>
      </c>
      <c r="L8" s="43" t="s"/>
      <c r="M8" s="43" t="s"/>
      <c r="N8" s="43" t="s"/>
      <c r="O8" s="43" t="s"/>
      <c r="P8" s="43" t="s"/>
      <c r="Q8" s="43" t="s"/>
      <c r="R8" s="43" t="s"/>
      <c r="S8" s="43" t="s"/>
      <c r="T8" s="43" t="s"/>
      <c r="U8" s="43" t="s"/>
      <c r="V8" s="43" t="s"/>
    </row>
    <row r="9" spans="1:22">
      <c r="A9" s="42" t="s">
        <v>232</v>
      </c>
      <c r="B9" s="42" t="s">
        <v>2545</v>
      </c>
      <c r="C9" s="42" t="s">
        <v>2546</v>
      </c>
      <c r="D9" s="42" t="s">
        <v>2546</v>
      </c>
      <c r="E9" s="42" t="s">
        <v>2547</v>
      </c>
      <c r="F9" s="42" t="s">
        <v>12</v>
      </c>
      <c r="G9" s="42" t="s">
        <v>19</v>
      </c>
      <c r="H9" s="329" t="s">
        <v>2535</v>
      </c>
      <c r="I9" s="42" t="s">
        <v>2548</v>
      </c>
      <c r="J9" s="42" t="s">
        <v>2549</v>
      </c>
      <c r="K9" s="42" t="s">
        <v>221</v>
      </c>
      <c r="L9" s="43" t="s"/>
      <c r="M9" s="43" t="s"/>
      <c r="N9" s="43" t="s"/>
      <c r="O9" s="43" t="s"/>
      <c r="P9" s="43" t="s"/>
      <c r="Q9" s="43" t="s"/>
      <c r="R9" s="43" t="s"/>
      <c r="S9" s="43" t="s"/>
      <c r="T9" s="43" t="s"/>
      <c r="U9" s="42" t="s">
        <v>2550</v>
      </c>
      <c r="V9" s="43" t="s"/>
    </row>
    <row r="10" spans="1:22">
      <c r="A10" s="42" t="s">
        <v>232</v>
      </c>
      <c r="B10" s="42" t="s">
        <v>2551</v>
      </c>
      <c r="C10" s="42" t="s">
        <v>2552</v>
      </c>
      <c r="D10" s="42" t="s">
        <v>1130</v>
      </c>
      <c r="E10" s="42" t="s">
        <v>1131</v>
      </c>
      <c r="F10" s="42" t="s">
        <v>12</v>
      </c>
      <c r="G10" s="42" t="s">
        <v>19</v>
      </c>
      <c r="H10" s="329" t="s">
        <v>2535</v>
      </c>
      <c r="I10" s="42" t="s">
        <v>2548</v>
      </c>
      <c r="J10" s="42" t="e">
        <v>#NAME?</v>
      </c>
      <c r="K10" s="42" t="s">
        <v>221</v>
      </c>
      <c r="L10" s="43" t="s"/>
      <c r="M10" s="43" t="s"/>
      <c r="N10" s="43" t="s"/>
      <c r="O10" s="43" t="s"/>
      <c r="P10" s="43" t="s"/>
      <c r="Q10" s="43" t="s"/>
      <c r="R10" s="43" t="s"/>
      <c r="S10" s="43" t="s"/>
      <c r="T10" s="43" t="s"/>
      <c r="U10" s="43" t="s"/>
      <c r="V10" s="43" t="s"/>
    </row>
    <row r="11" spans="1:22">
      <c r="A11" s="42" t="s">
        <v>232</v>
      </c>
      <c r="B11" s="42" t="s">
        <v>2553</v>
      </c>
      <c r="C11" s="42" t="s">
        <v>2554</v>
      </c>
      <c r="D11" s="42" t="s">
        <v>2555</v>
      </c>
      <c r="E11" s="42" t="s">
        <v>2556</v>
      </c>
      <c r="F11" s="42" t="s">
        <v>12</v>
      </c>
      <c r="G11" s="42" t="s">
        <v>19</v>
      </c>
      <c r="H11" s="329" t="s">
        <v>2535</v>
      </c>
      <c r="I11" s="42" t="s">
        <v>2548</v>
      </c>
      <c r="J11" s="42" t="s">
        <v>2557</v>
      </c>
      <c r="K11" s="42" t="s">
        <v>221</v>
      </c>
      <c r="L11" s="43" t="s"/>
      <c r="M11" s="43" t="s"/>
      <c r="N11" s="43" t="s"/>
      <c r="O11" s="43" t="s"/>
      <c r="P11" s="43" t="s"/>
      <c r="Q11" s="43" t="s"/>
      <c r="R11" s="43" t="s"/>
      <c r="S11" s="43" t="s"/>
      <c r="T11" s="43" t="s"/>
      <c r="U11" s="43" t="s"/>
      <c r="V11" s="43" t="s"/>
    </row>
    <row r="12" spans="1:22">
      <c r="A12" s="42" t="s">
        <v>232</v>
      </c>
      <c r="B12" s="42" t="s">
        <v>2558</v>
      </c>
      <c r="C12" s="42" t="s">
        <v>2559</v>
      </c>
      <c r="D12" s="42" t="s">
        <v>2559</v>
      </c>
      <c r="E12" s="42" t="s">
        <v>2560</v>
      </c>
      <c r="F12" s="42" t="s">
        <v>119</v>
      </c>
      <c r="G12" s="42" t="s">
        <v>19</v>
      </c>
      <c r="H12" s="329" t="s">
        <v>2535</v>
      </c>
      <c r="I12" s="42" t="s">
        <v>1889</v>
      </c>
      <c r="J12" s="43" t="s"/>
      <c r="K12" s="42" t="s">
        <v>221</v>
      </c>
      <c r="L12" s="43" t="s"/>
      <c r="M12" s="43" t="s"/>
      <c r="N12" s="43" t="s"/>
      <c r="O12" s="43" t="s"/>
      <c r="P12" s="43" t="s"/>
      <c r="Q12" s="43" t="s"/>
      <c r="R12" s="43" t="s"/>
      <c r="S12" s="43" t="s"/>
      <c r="T12" s="43" t="s"/>
      <c r="U12" s="43" t="s"/>
      <c r="V12" s="43" t="s"/>
    </row>
    <row r="13" spans="1:22">
      <c r="A13" s="42" t="s">
        <v>232</v>
      </c>
      <c r="B13" s="42" t="s">
        <v>2561</v>
      </c>
      <c r="C13" s="42" t="s">
        <v>1942</v>
      </c>
      <c r="D13" s="42" t="s">
        <v>1943</v>
      </c>
      <c r="E13" s="42" t="s">
        <v>1944</v>
      </c>
      <c r="F13" s="42" t="s">
        <v>12</v>
      </c>
      <c r="G13" s="42" t="s">
        <v>19</v>
      </c>
      <c r="H13" s="329" t="s">
        <v>2535</v>
      </c>
      <c r="I13" s="42" t="s">
        <v>1889</v>
      </c>
      <c r="J13" s="42" t="s">
        <v>2562</v>
      </c>
      <c r="K13" s="42" t="s">
        <v>221</v>
      </c>
      <c r="L13" s="43" t="s"/>
      <c r="M13" s="43" t="s"/>
      <c r="N13" s="43" t="s"/>
      <c r="O13" s="43" t="s"/>
      <c r="P13" s="43" t="s"/>
      <c r="Q13" s="43" t="s"/>
      <c r="R13" s="43" t="s"/>
      <c r="S13" s="43" t="s"/>
      <c r="T13" s="43" t="s"/>
      <c r="U13" s="43" t="s"/>
      <c r="V13" s="43" t="s"/>
    </row>
    <row r="14" spans="1:22">
      <c r="A14" s="42" t="s">
        <v>232</v>
      </c>
      <c r="B14" s="42" t="s">
        <v>233</v>
      </c>
      <c r="C14" s="42" t="s">
        <v>2563</v>
      </c>
      <c r="D14" s="42" t="s">
        <v>1211</v>
      </c>
      <c r="E14" s="42" t="s">
        <v>469</v>
      </c>
      <c r="F14" s="42" t="s">
        <v>12</v>
      </c>
      <c r="G14" s="42" t="s">
        <v>19</v>
      </c>
      <c r="H14" s="329" t="s">
        <v>2535</v>
      </c>
      <c r="I14" s="42" t="s">
        <v>1889</v>
      </c>
      <c r="J14" s="42" t="s">
        <v>2564</v>
      </c>
      <c r="K14" s="42" t="s">
        <v>221</v>
      </c>
      <c r="L14" s="43" t="s"/>
      <c r="M14" s="43" t="s"/>
      <c r="N14" s="43" t="s"/>
      <c r="O14" s="43" t="s"/>
      <c r="P14" s="43" t="s"/>
      <c r="Q14" s="43" t="s"/>
      <c r="R14" s="43" t="s"/>
      <c r="S14" s="43" t="s"/>
      <c r="T14" s="43" t="s"/>
      <c r="U14" s="43" t="s"/>
      <c r="V14" s="43" t="s"/>
    </row>
    <row r="15" spans="1:22">
      <c r="A15" s="42" t="s">
        <v>232</v>
      </c>
      <c r="B15" s="42" t="s">
        <v>2565</v>
      </c>
      <c r="C15" s="42" t="s">
        <v>1948</v>
      </c>
      <c r="D15" s="42" t="s">
        <v>1949</v>
      </c>
      <c r="E15" s="42" t="s">
        <v>1950</v>
      </c>
      <c r="F15" s="42" t="s">
        <v>12</v>
      </c>
      <c r="G15" s="42" t="s">
        <v>19</v>
      </c>
      <c r="H15" s="329" t="s">
        <v>2535</v>
      </c>
      <c r="I15" s="42" t="s">
        <v>1889</v>
      </c>
      <c r="J15" s="42" t="s">
        <v>2566</v>
      </c>
      <c r="K15" s="42" t="s">
        <v>221</v>
      </c>
      <c r="L15" s="43" t="s"/>
      <c r="M15" s="43" t="s"/>
      <c r="N15" s="43" t="s"/>
      <c r="O15" s="43" t="s"/>
      <c r="P15" s="43" t="s"/>
      <c r="Q15" s="43" t="s"/>
      <c r="R15" s="43" t="s"/>
      <c r="S15" s="43" t="s"/>
      <c r="T15" s="43" t="s"/>
      <c r="U15" s="42" t="s">
        <v>1953</v>
      </c>
      <c r="V15" s="43" t="s"/>
    </row>
    <row r="16" spans="1:22">
      <c r="A16" s="42" t="s">
        <v>232</v>
      </c>
      <c r="B16" s="42" t="s">
        <v>2567</v>
      </c>
      <c r="C16" s="42" t="s">
        <v>1942</v>
      </c>
      <c r="D16" s="42" t="s">
        <v>1943</v>
      </c>
      <c r="E16" s="42" t="s">
        <v>1944</v>
      </c>
      <c r="F16" s="42" t="s">
        <v>12</v>
      </c>
      <c r="G16" s="42" t="s">
        <v>19</v>
      </c>
      <c r="H16" s="329" t="s">
        <v>2535</v>
      </c>
      <c r="I16" s="42" t="s">
        <v>1889</v>
      </c>
      <c r="J16" s="42" t="s">
        <v>2568</v>
      </c>
      <c r="K16" s="42" t="s">
        <v>221</v>
      </c>
      <c r="L16" s="43" t="s"/>
      <c r="M16" s="43" t="s"/>
      <c r="N16" s="43" t="s"/>
      <c r="O16" s="43" t="s"/>
      <c r="P16" s="43" t="s"/>
      <c r="Q16" s="43" t="s"/>
      <c r="R16" s="43" t="s"/>
      <c r="S16" s="43" t="s"/>
      <c r="T16" s="43" t="s"/>
      <c r="U16" s="42" t="s">
        <v>2569</v>
      </c>
      <c r="V16" s="43" t="s"/>
    </row>
    <row r="17" spans="1:22">
      <c r="A17" s="42" t="s">
        <v>1954</v>
      </c>
      <c r="B17" s="42" t="s">
        <v>2558</v>
      </c>
      <c r="C17" s="42" t="s">
        <v>2570</v>
      </c>
      <c r="D17" s="42" t="s">
        <v>2571</v>
      </c>
      <c r="E17" s="42" t="s">
        <v>2572</v>
      </c>
      <c r="F17" s="42" t="s">
        <v>119</v>
      </c>
      <c r="G17" s="42" t="s">
        <v>19</v>
      </c>
      <c r="H17" s="329" t="s">
        <v>2535</v>
      </c>
      <c r="I17" s="42" t="s">
        <v>2573</v>
      </c>
      <c r="J17" s="43" t="s"/>
      <c r="K17" s="42" t="s">
        <v>221</v>
      </c>
      <c r="L17" s="43" t="s"/>
      <c r="M17" s="43" t="s"/>
      <c r="N17" s="43" t="s"/>
      <c r="O17" s="43" t="s"/>
      <c r="P17" s="43" t="s"/>
      <c r="Q17" s="43" t="s"/>
      <c r="R17" s="43" t="s"/>
      <c r="S17" s="43" t="s"/>
      <c r="T17" s="43" t="s"/>
      <c r="U17" s="43" t="s"/>
      <c r="V17" s="43" t="s"/>
    </row>
    <row r="18" spans="1:22">
      <c r="A18" s="42" t="s">
        <v>1954</v>
      </c>
      <c r="B18" s="42" t="s">
        <v>2545</v>
      </c>
      <c r="C18" s="42" t="s">
        <v>2574</v>
      </c>
      <c r="D18" s="42" t="s">
        <v>2575</v>
      </c>
      <c r="E18" s="42" t="s">
        <v>2576</v>
      </c>
      <c r="F18" s="42" t="s">
        <v>12</v>
      </c>
      <c r="G18" s="42" t="s">
        <v>19</v>
      </c>
      <c r="H18" s="329" t="s">
        <v>2535</v>
      </c>
      <c r="I18" s="42" t="s">
        <v>2573</v>
      </c>
      <c r="J18" s="42" t="s">
        <v>2577</v>
      </c>
      <c r="K18" s="42" t="s">
        <v>221</v>
      </c>
      <c r="L18" s="43" t="s"/>
      <c r="M18" s="43" t="s"/>
      <c r="N18" s="43" t="s"/>
      <c r="O18" s="43" t="s"/>
      <c r="P18" s="43" t="s"/>
      <c r="Q18" s="43" t="s"/>
      <c r="R18" s="43" t="s"/>
      <c r="S18" s="43" t="s"/>
      <c r="T18" s="43" t="s"/>
      <c r="U18" s="42" t="s">
        <v>2578</v>
      </c>
      <c r="V18" s="43" t="s"/>
    </row>
    <row r="19" spans="1:22">
      <c r="A19" s="42" t="s">
        <v>1954</v>
      </c>
      <c r="B19" s="42" t="s">
        <v>2558</v>
      </c>
      <c r="C19" s="42" t="s">
        <v>2579</v>
      </c>
      <c r="D19" s="42" t="s">
        <v>2580</v>
      </c>
      <c r="E19" s="42" t="s">
        <v>2581</v>
      </c>
      <c r="F19" s="42" t="s">
        <v>119</v>
      </c>
      <c r="G19" s="42" t="s">
        <v>19</v>
      </c>
      <c r="H19" s="329" t="s">
        <v>2535</v>
      </c>
      <c r="I19" s="42" t="s">
        <v>2573</v>
      </c>
      <c r="J19" s="43" t="s"/>
      <c r="K19" s="42" t="s">
        <v>221</v>
      </c>
      <c r="L19" s="43" t="s"/>
      <c r="M19" s="43" t="s"/>
      <c r="N19" s="43" t="s"/>
      <c r="O19" s="43" t="s"/>
      <c r="P19" s="43" t="s"/>
      <c r="Q19" s="43" t="s"/>
      <c r="R19" s="43" t="s"/>
      <c r="S19" s="43" t="s"/>
      <c r="T19" s="43" t="s"/>
      <c r="U19" s="43" t="s"/>
      <c r="V19" s="43" t="s"/>
    </row>
    <row r="20" spans="1:22">
      <c r="A20" s="42" t="s">
        <v>1954</v>
      </c>
      <c r="B20" s="42" t="s">
        <v>2545</v>
      </c>
      <c r="C20" s="42" t="s">
        <v>2582</v>
      </c>
      <c r="D20" s="42" t="s">
        <v>2583</v>
      </c>
      <c r="E20" s="42" t="s">
        <v>2584</v>
      </c>
      <c r="F20" s="42" t="s">
        <v>12</v>
      </c>
      <c r="G20" s="42" t="s">
        <v>19</v>
      </c>
      <c r="H20" s="329" t="s">
        <v>2535</v>
      </c>
      <c r="I20" s="42" t="s">
        <v>2585</v>
      </c>
      <c r="J20" s="42" t="s">
        <v>2586</v>
      </c>
      <c r="K20" s="42" t="s">
        <v>221</v>
      </c>
      <c r="L20" s="43" t="s"/>
      <c r="M20" s="43" t="s"/>
      <c r="N20" s="43" t="s"/>
      <c r="O20" s="43" t="s"/>
      <c r="P20" s="43" t="s"/>
      <c r="Q20" s="43" t="s"/>
      <c r="R20" s="43" t="s"/>
      <c r="S20" s="43" t="s"/>
      <c r="T20" s="43" t="s"/>
      <c r="U20" s="42" t="s">
        <v>2578</v>
      </c>
      <c r="V20" s="43" t="s"/>
    </row>
    <row r="21" spans="1:22">
      <c r="A21" s="42" t="s">
        <v>239</v>
      </c>
      <c r="B21" s="43" t="s"/>
      <c r="C21" s="42" t="s">
        <v>2587</v>
      </c>
      <c r="D21" s="42" t="s">
        <v>2588</v>
      </c>
      <c r="E21" s="42" t="s">
        <v>2589</v>
      </c>
      <c r="F21" s="42" t="s">
        <v>99</v>
      </c>
      <c r="G21" s="42" t="s">
        <v>19</v>
      </c>
      <c r="H21" s="329" t="s">
        <v>2535</v>
      </c>
      <c r="I21" s="42" t="s">
        <v>237</v>
      </c>
      <c r="J21" s="42" t="s">
        <v>2590</v>
      </c>
      <c r="K21" s="42" t="s">
        <v>221</v>
      </c>
      <c r="L21" s="43" t="s"/>
      <c r="M21" s="43" t="s"/>
      <c r="N21" s="43" t="s"/>
      <c r="O21" s="43" t="s"/>
      <c r="P21" s="43" t="s"/>
      <c r="Q21" s="43" t="s"/>
      <c r="R21" s="43" t="s"/>
      <c r="S21" s="43" t="s"/>
      <c r="T21" s="43" t="s"/>
      <c r="U21" s="43" t="s"/>
      <c r="V21" s="43" t="s"/>
    </row>
    <row r="22" spans="1:22">
      <c r="A22" s="42" t="s">
        <v>239</v>
      </c>
      <c r="B22" s="43" t="s"/>
      <c r="C22" s="42" t="s">
        <v>2591</v>
      </c>
      <c r="D22" s="42" t="s">
        <v>2591</v>
      </c>
      <c r="E22" s="42" t="s">
        <v>2592</v>
      </c>
      <c r="F22" s="42" t="s">
        <v>12</v>
      </c>
      <c r="G22" s="42" t="s">
        <v>19</v>
      </c>
      <c r="H22" s="329" t="s">
        <v>2535</v>
      </c>
      <c r="I22" s="42" t="s">
        <v>237</v>
      </c>
      <c r="J22" s="42" t="s">
        <v>2593</v>
      </c>
      <c r="K22" s="42" t="s">
        <v>221</v>
      </c>
      <c r="L22" s="43" t="s"/>
      <c r="M22" s="43" t="s"/>
      <c r="N22" s="43" t="s"/>
      <c r="O22" s="43" t="s"/>
      <c r="P22" s="43" t="s"/>
      <c r="Q22" s="43" t="s"/>
      <c r="R22" s="43" t="s"/>
      <c r="S22" s="43" t="s"/>
      <c r="T22" s="43" t="s"/>
      <c r="U22" s="42" t="s">
        <v>2594</v>
      </c>
      <c r="V22" s="43" t="s"/>
    </row>
    <row r="23" spans="1:22">
      <c r="A23" s="42" t="s">
        <v>239</v>
      </c>
      <c r="B23" s="42" t="s">
        <v>2595</v>
      </c>
      <c r="C23" s="42" t="s">
        <v>2596</v>
      </c>
      <c r="D23" s="42" t="s">
        <v>2597</v>
      </c>
      <c r="E23" s="42" t="s">
        <v>2598</v>
      </c>
      <c r="F23" s="42" t="s">
        <v>99</v>
      </c>
      <c r="G23" s="42" t="s">
        <v>19</v>
      </c>
      <c r="H23" s="329" t="s">
        <v>2535</v>
      </c>
      <c r="I23" s="42" t="s">
        <v>249</v>
      </c>
      <c r="J23" s="42" t="s">
        <v>2599</v>
      </c>
      <c r="K23" s="42" t="s">
        <v>221</v>
      </c>
      <c r="L23" s="43" t="s"/>
      <c r="M23" s="43" t="s"/>
      <c r="N23" s="43" t="s"/>
      <c r="O23" s="43" t="s"/>
      <c r="P23" s="43" t="s"/>
      <c r="Q23" s="43" t="s"/>
      <c r="R23" s="43" t="s"/>
      <c r="S23" s="43" t="s"/>
      <c r="T23" s="43" t="s"/>
      <c r="U23" s="43" t="s"/>
      <c r="V23" s="43" t="s"/>
    </row>
    <row r="24" spans="1:22">
      <c r="A24" s="42" t="s">
        <v>239</v>
      </c>
      <c r="B24" s="42" t="s">
        <v>2595</v>
      </c>
      <c r="C24" s="42" t="s">
        <v>2600</v>
      </c>
      <c r="D24" s="42" t="s">
        <v>2601</v>
      </c>
      <c r="E24" s="42" t="s">
        <v>2602</v>
      </c>
      <c r="F24" s="42" t="s">
        <v>99</v>
      </c>
      <c r="G24" s="42" t="s">
        <v>19</v>
      </c>
      <c r="H24" s="329" t="s">
        <v>2535</v>
      </c>
      <c r="I24" s="42" t="s">
        <v>249</v>
      </c>
      <c r="J24" s="42" t="s">
        <v>2603</v>
      </c>
      <c r="K24" s="42" t="s">
        <v>221</v>
      </c>
      <c r="L24" s="43" t="s"/>
      <c r="M24" s="43" t="s"/>
      <c r="N24" s="43" t="s"/>
      <c r="O24" s="43" t="s"/>
      <c r="P24" s="43" t="s"/>
      <c r="Q24" s="43" t="s"/>
      <c r="R24" s="43" t="s"/>
      <c r="S24" s="43" t="s"/>
      <c r="T24" s="43" t="s"/>
      <c r="U24" s="43" t="s"/>
      <c r="V24" s="43" t="s"/>
    </row>
    <row r="25" spans="1:22">
      <c r="A25" s="42" t="s">
        <v>239</v>
      </c>
      <c r="B25" s="42" t="s">
        <v>2595</v>
      </c>
      <c r="C25" s="42" t="s">
        <v>2604</v>
      </c>
      <c r="D25" s="42" t="s">
        <v>2605</v>
      </c>
      <c r="E25" s="42" t="s">
        <v>2606</v>
      </c>
      <c r="F25" s="42" t="s">
        <v>99</v>
      </c>
      <c r="G25" s="42" t="s">
        <v>19</v>
      </c>
      <c r="H25" s="329" t="s">
        <v>2535</v>
      </c>
      <c r="I25" s="42" t="s">
        <v>249</v>
      </c>
      <c r="J25" s="42" t="s">
        <v>2607</v>
      </c>
      <c r="K25" s="42" t="s">
        <v>221</v>
      </c>
      <c r="L25" s="43" t="s"/>
      <c r="M25" s="43" t="s"/>
      <c r="N25" s="43" t="s"/>
      <c r="O25" s="43" t="s"/>
      <c r="P25" s="43" t="s"/>
      <c r="Q25" s="43" t="s"/>
      <c r="R25" s="43" t="s"/>
      <c r="S25" s="43" t="s"/>
      <c r="T25" s="43" t="s"/>
      <c r="U25" s="43" t="s"/>
      <c r="V25" s="43" t="s"/>
    </row>
    <row r="26" spans="1:22">
      <c r="A26" s="42" t="s">
        <v>239</v>
      </c>
      <c r="B26" s="42" t="s">
        <v>2595</v>
      </c>
      <c r="C26" s="42" t="s">
        <v>2608</v>
      </c>
      <c r="D26" s="42" t="s">
        <v>2609</v>
      </c>
      <c r="E26" s="42" t="s">
        <v>2610</v>
      </c>
      <c r="F26" s="42" t="s">
        <v>99</v>
      </c>
      <c r="G26" s="42" t="s">
        <v>19</v>
      </c>
      <c r="H26" s="329" t="s">
        <v>2535</v>
      </c>
      <c r="I26" s="42" t="s">
        <v>249</v>
      </c>
      <c r="J26" s="42" t="s">
        <v>2611</v>
      </c>
      <c r="K26" s="42" t="s">
        <v>221</v>
      </c>
      <c r="L26" s="43" t="s"/>
      <c r="M26" s="43" t="s"/>
      <c r="N26" s="43" t="s"/>
      <c r="O26" s="43" t="s"/>
      <c r="P26" s="43" t="s"/>
      <c r="Q26" s="43" t="s"/>
      <c r="R26" s="43" t="s"/>
      <c r="S26" s="43" t="s"/>
      <c r="T26" s="43" t="s"/>
      <c r="U26" s="43" t="s"/>
      <c r="V26" s="43" t="s"/>
    </row>
    <row r="27" spans="1:22">
      <c r="A27" s="42" t="s">
        <v>239</v>
      </c>
      <c r="B27" s="42" t="s">
        <v>2595</v>
      </c>
      <c r="C27" s="42" t="s">
        <v>2612</v>
      </c>
      <c r="D27" s="42" t="s">
        <v>2613</v>
      </c>
      <c r="E27" s="42" t="s">
        <v>2614</v>
      </c>
      <c r="F27" s="42" t="s">
        <v>99</v>
      </c>
      <c r="G27" s="42" t="s">
        <v>19</v>
      </c>
      <c r="H27" s="329" t="s">
        <v>2535</v>
      </c>
      <c r="I27" s="42" t="s">
        <v>249</v>
      </c>
      <c r="J27" s="42" t="s">
        <v>2615</v>
      </c>
      <c r="K27" s="42" t="s">
        <v>221</v>
      </c>
      <c r="L27" s="43" t="s"/>
      <c r="M27" s="43" t="s"/>
      <c r="N27" s="43" t="s"/>
      <c r="O27" s="43" t="s"/>
      <c r="P27" s="43" t="s"/>
      <c r="Q27" s="43" t="s"/>
      <c r="R27" s="43" t="s"/>
      <c r="S27" s="43" t="s"/>
      <c r="T27" s="43" t="s"/>
      <c r="U27" s="43" t="s"/>
      <c r="V27" s="43" t="s"/>
    </row>
    <row r="28" spans="1:22">
      <c r="A28" s="42" t="s">
        <v>239</v>
      </c>
      <c r="B28" s="42" t="s">
        <v>2595</v>
      </c>
      <c r="C28" s="42" t="s">
        <v>2616</v>
      </c>
      <c r="D28" s="42" t="s">
        <v>2617</v>
      </c>
      <c r="E28" s="42" t="s">
        <v>2618</v>
      </c>
      <c r="F28" s="42" t="s">
        <v>99</v>
      </c>
      <c r="G28" s="42" t="s">
        <v>19</v>
      </c>
      <c r="H28" s="329" t="s">
        <v>2535</v>
      </c>
      <c r="I28" s="42" t="s">
        <v>249</v>
      </c>
      <c r="J28" s="42" t="s">
        <v>2619</v>
      </c>
      <c r="K28" s="42" t="s">
        <v>221</v>
      </c>
      <c r="L28" s="43" t="s"/>
      <c r="M28" s="43" t="s"/>
      <c r="N28" s="43" t="s"/>
      <c r="O28" s="43" t="s"/>
      <c r="P28" s="43" t="s"/>
      <c r="Q28" s="43" t="s"/>
      <c r="R28" s="43" t="s"/>
      <c r="S28" s="43" t="s"/>
      <c r="T28" s="43" t="s"/>
      <c r="U28" s="43" t="s"/>
      <c r="V28" s="43" t="s"/>
    </row>
    <row r="29" spans="1:22">
      <c r="A29" s="42" t="s">
        <v>239</v>
      </c>
      <c r="B29" s="42" t="s">
        <v>251</v>
      </c>
      <c r="C29" s="42" t="s">
        <v>2620</v>
      </c>
      <c r="D29" s="42" t="s">
        <v>2621</v>
      </c>
      <c r="E29" s="42" t="s">
        <v>2622</v>
      </c>
      <c r="F29" s="42" t="s">
        <v>258</v>
      </c>
      <c r="G29" s="42" t="s">
        <v>19</v>
      </c>
      <c r="H29" s="329" t="s">
        <v>2535</v>
      </c>
      <c r="I29" s="42" t="s">
        <v>2623</v>
      </c>
      <c r="J29" s="42" t="s">
        <v>2624</v>
      </c>
      <c r="K29" s="42" t="s">
        <v>221</v>
      </c>
      <c r="L29" s="43" t="s"/>
      <c r="M29" s="43" t="s"/>
      <c r="N29" s="43" t="s"/>
      <c r="O29" s="43" t="s"/>
      <c r="P29" s="43" t="s"/>
      <c r="Q29" s="43" t="s"/>
      <c r="R29" s="43" t="s"/>
      <c r="S29" s="43" t="s"/>
      <c r="T29" s="43" t="s"/>
      <c r="U29" s="43" t="s"/>
      <c r="V29" s="43" t="s"/>
    </row>
    <row r="30" spans="1:22">
      <c r="A30" s="42" t="s">
        <v>239</v>
      </c>
      <c r="B30" s="42" t="s">
        <v>251</v>
      </c>
      <c r="C30" s="42" t="s">
        <v>2625</v>
      </c>
      <c r="D30" s="42" t="s">
        <v>2626</v>
      </c>
      <c r="E30" s="42" t="s">
        <v>2627</v>
      </c>
      <c r="F30" s="42" t="s">
        <v>258</v>
      </c>
      <c r="G30" s="42" t="s">
        <v>19</v>
      </c>
      <c r="H30" s="329" t="s">
        <v>2535</v>
      </c>
      <c r="I30" s="42" t="s">
        <v>2623</v>
      </c>
      <c r="J30" s="42" t="s">
        <v>2628</v>
      </c>
      <c r="K30" s="42" t="s">
        <v>221</v>
      </c>
      <c r="L30" s="43" t="s"/>
      <c r="M30" s="43" t="s"/>
      <c r="N30" s="43" t="s"/>
      <c r="O30" s="43" t="s"/>
      <c r="P30" s="43" t="s"/>
      <c r="Q30" s="43" t="s"/>
      <c r="R30" s="43" t="s"/>
      <c r="S30" s="43" t="s"/>
      <c r="T30" s="43" t="s"/>
      <c r="U30" s="43" t="s"/>
      <c r="V30" s="43" t="s"/>
    </row>
    <row r="31" spans="1:22">
      <c r="A31" s="42" t="s">
        <v>239</v>
      </c>
      <c r="B31" s="42" t="s">
        <v>251</v>
      </c>
      <c r="C31" s="42" t="s">
        <v>2629</v>
      </c>
      <c r="D31" s="42" t="s">
        <v>2630</v>
      </c>
      <c r="E31" s="42" t="s">
        <v>2631</v>
      </c>
      <c r="F31" s="42" t="s">
        <v>258</v>
      </c>
      <c r="G31" s="42" t="s">
        <v>19</v>
      </c>
      <c r="H31" s="329" t="s">
        <v>2535</v>
      </c>
      <c r="I31" s="42" t="s">
        <v>2623</v>
      </c>
      <c r="J31" s="42" t="s">
        <v>2632</v>
      </c>
      <c r="K31" s="42" t="s">
        <v>221</v>
      </c>
      <c r="L31" s="43" t="s"/>
      <c r="M31" s="43" t="s"/>
      <c r="N31" s="43" t="s"/>
      <c r="O31" s="43" t="s"/>
      <c r="P31" s="43" t="s"/>
      <c r="Q31" s="43" t="s"/>
      <c r="R31" s="43" t="s"/>
      <c r="S31" s="43" t="s"/>
      <c r="T31" s="43" t="s"/>
      <c r="U31" s="43" t="s"/>
      <c r="V31" s="43" t="s"/>
    </row>
    <row r="32" spans="1:22">
      <c r="A32" s="42" t="s">
        <v>239</v>
      </c>
      <c r="B32" s="42" t="s">
        <v>251</v>
      </c>
      <c r="C32" s="42" t="s">
        <v>2633</v>
      </c>
      <c r="D32" s="42" t="s">
        <v>2634</v>
      </c>
      <c r="E32" s="42" t="s">
        <v>2635</v>
      </c>
      <c r="F32" s="42" t="s">
        <v>258</v>
      </c>
      <c r="G32" s="42" t="s">
        <v>19</v>
      </c>
      <c r="H32" s="329" t="s">
        <v>2535</v>
      </c>
      <c r="I32" s="42" t="s">
        <v>2623</v>
      </c>
      <c r="J32" s="42" t="s">
        <v>2636</v>
      </c>
      <c r="K32" s="42" t="s">
        <v>221</v>
      </c>
      <c r="L32" s="43" t="s"/>
      <c r="M32" s="43" t="s"/>
      <c r="N32" s="43" t="s"/>
      <c r="O32" s="43" t="s"/>
      <c r="P32" s="43" t="s"/>
      <c r="Q32" s="43" t="s"/>
      <c r="R32" s="43" t="s"/>
      <c r="S32" s="43" t="s"/>
      <c r="T32" s="43" t="s"/>
      <c r="U32" s="43" t="s"/>
      <c r="V32" s="43" t="s"/>
    </row>
    <row r="33" spans="1:22">
      <c r="A33" s="42" t="s">
        <v>239</v>
      </c>
      <c r="B33" s="42" t="s">
        <v>261</v>
      </c>
      <c r="C33" s="42" t="s">
        <v>2637</v>
      </c>
      <c r="D33" s="42" t="s">
        <v>2637</v>
      </c>
      <c r="E33" s="42" t="s">
        <v>2638</v>
      </c>
      <c r="F33" s="42" t="s">
        <v>258</v>
      </c>
      <c r="G33" s="42" t="s">
        <v>19</v>
      </c>
      <c r="H33" s="329" t="s">
        <v>2535</v>
      </c>
      <c r="I33" s="42" t="s">
        <v>2623</v>
      </c>
      <c r="J33" s="42" t="s">
        <v>2639</v>
      </c>
      <c r="K33" s="42" t="s">
        <v>221</v>
      </c>
      <c r="L33" s="43" t="s"/>
      <c r="M33" s="43" t="s"/>
      <c r="N33" s="43" t="s"/>
      <c r="O33" s="43" t="s"/>
      <c r="P33" s="43" t="s"/>
      <c r="Q33" s="43" t="s"/>
      <c r="R33" s="43" t="s"/>
      <c r="S33" s="43" t="s"/>
      <c r="T33" s="43" t="s"/>
      <c r="U33" s="43" t="s"/>
      <c r="V33" s="42" t="s">
        <v>2640</v>
      </c>
    </row>
    <row r="34" spans="1:22">
      <c r="A34" s="42" t="s">
        <v>239</v>
      </c>
      <c r="B34" s="42" t="s">
        <v>2551</v>
      </c>
      <c r="C34" s="42" t="s">
        <v>2641</v>
      </c>
      <c r="D34" s="42" t="s">
        <v>2641</v>
      </c>
      <c r="E34" s="42" t="s">
        <v>2642</v>
      </c>
      <c r="F34" s="42" t="s">
        <v>258</v>
      </c>
      <c r="G34" s="42" t="s">
        <v>19</v>
      </c>
      <c r="H34" s="329" t="s">
        <v>2535</v>
      </c>
      <c r="I34" s="42" t="s">
        <v>2623</v>
      </c>
      <c r="J34" s="42" t="s">
        <v>2643</v>
      </c>
      <c r="K34" s="42" t="s">
        <v>221</v>
      </c>
      <c r="L34" s="43" t="s"/>
      <c r="M34" s="43" t="s"/>
      <c r="N34" s="43" t="s"/>
      <c r="O34" s="43" t="s"/>
      <c r="P34" s="43" t="s"/>
      <c r="Q34" s="43" t="s"/>
      <c r="R34" s="43" t="s"/>
      <c r="S34" s="43" t="s"/>
      <c r="T34" s="43" t="s"/>
      <c r="U34" s="42" t="s">
        <v>2644</v>
      </c>
      <c r="V34" s="43" t="s"/>
    </row>
    <row r="35" spans="1:22">
      <c r="A35" s="42" t="s">
        <v>239</v>
      </c>
      <c r="B35" s="42" t="s">
        <v>2645</v>
      </c>
      <c r="C35" s="42" t="s">
        <v>2646</v>
      </c>
      <c r="D35" s="42" t="s">
        <v>2647</v>
      </c>
      <c r="E35" s="42" t="s">
        <v>2648</v>
      </c>
      <c r="F35" s="42" t="s">
        <v>258</v>
      </c>
      <c r="G35" s="42" t="s">
        <v>19</v>
      </c>
      <c r="H35" s="329" t="s">
        <v>2535</v>
      </c>
      <c r="I35" s="42" t="s">
        <v>2573</v>
      </c>
      <c r="J35" s="42" t="s">
        <v>2649</v>
      </c>
      <c r="K35" s="42" t="s">
        <v>221</v>
      </c>
      <c r="L35" s="43" t="s"/>
      <c r="M35" s="43" t="s"/>
      <c r="N35" s="43" t="s"/>
      <c r="O35" s="43" t="s"/>
      <c r="P35" s="43" t="s"/>
      <c r="Q35" s="43" t="s"/>
      <c r="R35" s="43" t="s"/>
      <c r="S35" s="43" t="s"/>
      <c r="T35" s="43" t="s"/>
      <c r="U35" s="42" t="s">
        <v>2550</v>
      </c>
      <c r="V35" s="43" t="s"/>
    </row>
    <row r="36" spans="1:22">
      <c r="A36" s="42" t="s">
        <v>239</v>
      </c>
      <c r="B36" s="42" t="s">
        <v>2650</v>
      </c>
      <c r="C36" s="42" t="s">
        <v>2651</v>
      </c>
      <c r="D36" s="42" t="s">
        <v>2652</v>
      </c>
      <c r="E36" s="42" t="s">
        <v>2653</v>
      </c>
      <c r="F36" s="42" t="s">
        <v>258</v>
      </c>
      <c r="G36" s="42" t="s">
        <v>19</v>
      </c>
      <c r="H36" s="329" t="s">
        <v>2535</v>
      </c>
      <c r="I36" s="42" t="s">
        <v>2573</v>
      </c>
      <c r="J36" s="43" t="s"/>
      <c r="K36" s="42" t="s">
        <v>221</v>
      </c>
      <c r="L36" s="43" t="s"/>
      <c r="M36" s="43" t="s"/>
      <c r="N36" s="43" t="s"/>
      <c r="O36" s="43" t="s"/>
      <c r="P36" s="43" t="s"/>
      <c r="Q36" s="43" t="s"/>
      <c r="R36" s="43" t="s"/>
      <c r="S36" s="43" t="s"/>
      <c r="T36" s="43" t="s"/>
      <c r="U36" s="43" t="s"/>
      <c r="V36" s="43" t="s"/>
    </row>
    <row r="37" spans="1:22">
      <c r="A37" s="42" t="s">
        <v>239</v>
      </c>
      <c r="B37" s="43" t="s"/>
      <c r="C37" s="42" t="s">
        <v>2654</v>
      </c>
      <c r="D37" s="42" t="s">
        <v>2655</v>
      </c>
      <c r="E37" s="42" t="s">
        <v>2656</v>
      </c>
      <c r="F37" s="42" t="s">
        <v>258</v>
      </c>
      <c r="G37" s="42" t="s">
        <v>19</v>
      </c>
      <c r="H37" s="329" t="s">
        <v>2535</v>
      </c>
      <c r="I37" s="42" t="s">
        <v>2573</v>
      </c>
      <c r="J37" s="42" t="e">
        <v>#NAME?</v>
      </c>
      <c r="K37" s="42" t="s">
        <v>221</v>
      </c>
      <c r="L37" s="43" t="s"/>
      <c r="M37" s="43" t="s"/>
      <c r="N37" s="43" t="s"/>
      <c r="O37" s="43" t="s"/>
      <c r="P37" s="43" t="s"/>
      <c r="Q37" s="43" t="s"/>
      <c r="R37" s="43" t="s"/>
      <c r="S37" s="43" t="s"/>
      <c r="T37" s="43" t="s"/>
      <c r="U37" s="43" t="s"/>
      <c r="V37" s="43" t="s"/>
    </row>
    <row r="38" spans="1:22">
      <c r="A38" s="42" t="s">
        <v>239</v>
      </c>
      <c r="B38" s="42" t="s">
        <v>2551</v>
      </c>
      <c r="C38" s="42" t="s">
        <v>2657</v>
      </c>
      <c r="D38" s="42" t="s">
        <v>2658</v>
      </c>
      <c r="E38" s="42" t="s">
        <v>2659</v>
      </c>
      <c r="F38" s="42" t="s">
        <v>258</v>
      </c>
      <c r="G38" s="42" t="s">
        <v>19</v>
      </c>
      <c r="H38" s="329" t="s">
        <v>2535</v>
      </c>
      <c r="I38" s="42" t="s">
        <v>2573</v>
      </c>
      <c r="J38" s="43" t="s"/>
      <c r="K38" s="42" t="s">
        <v>221</v>
      </c>
      <c r="L38" s="43" t="s"/>
      <c r="M38" s="43" t="s"/>
      <c r="N38" s="43" t="s"/>
      <c r="O38" s="43" t="s"/>
      <c r="P38" s="43" t="s"/>
      <c r="Q38" s="43" t="s"/>
      <c r="R38" s="43" t="s"/>
      <c r="S38" s="43" t="s"/>
      <c r="T38" s="43" t="s"/>
      <c r="U38" s="43" t="s"/>
      <c r="V38" s="43" t="s"/>
    </row>
    <row r="39" spans="1:22">
      <c r="A39" s="42" t="s">
        <v>239</v>
      </c>
      <c r="B39" s="43" t="s"/>
      <c r="C39" s="42" t="s">
        <v>2660</v>
      </c>
      <c r="D39" s="42" t="s">
        <v>2660</v>
      </c>
      <c r="E39" s="42" t="s">
        <v>2661</v>
      </c>
      <c r="F39" s="42" t="s">
        <v>99</v>
      </c>
      <c r="G39" s="42" t="s">
        <v>19</v>
      </c>
      <c r="H39" s="329" t="s">
        <v>2535</v>
      </c>
      <c r="I39" s="42" t="s">
        <v>2573</v>
      </c>
      <c r="J39" s="42" t="e">
        <v>#NAME?</v>
      </c>
      <c r="K39" s="42" t="s">
        <v>221</v>
      </c>
      <c r="L39" s="43" t="s"/>
      <c r="M39" s="43" t="s"/>
      <c r="N39" s="43" t="s"/>
      <c r="O39" s="43" t="s"/>
      <c r="P39" s="43" t="s"/>
      <c r="Q39" s="43" t="s"/>
      <c r="R39" s="43" t="s"/>
      <c r="S39" s="43" t="s"/>
      <c r="T39" s="43" t="s"/>
      <c r="U39" s="43" t="s"/>
      <c r="V39" s="43" t="s"/>
    </row>
    <row r="40" spans="1:22">
      <c r="A40" s="42" t="s">
        <v>239</v>
      </c>
      <c r="B40" s="42" t="s">
        <v>2650</v>
      </c>
      <c r="C40" s="42" t="s">
        <v>2662</v>
      </c>
      <c r="D40" s="42" t="s">
        <v>2663</v>
      </c>
      <c r="E40" s="42" t="s">
        <v>2664</v>
      </c>
      <c r="F40" s="42" t="s">
        <v>258</v>
      </c>
      <c r="G40" s="42" t="s">
        <v>19</v>
      </c>
      <c r="H40" s="329" t="s">
        <v>2535</v>
      </c>
      <c r="I40" s="42" t="s">
        <v>2665</v>
      </c>
      <c r="J40" s="43" t="s"/>
      <c r="K40" s="42" t="s">
        <v>221</v>
      </c>
      <c r="L40" s="43" t="s"/>
      <c r="M40" s="43" t="s"/>
      <c r="N40" s="43" t="s"/>
      <c r="O40" s="43" t="s"/>
      <c r="P40" s="43" t="s"/>
      <c r="Q40" s="43" t="s"/>
      <c r="R40" s="43" t="s"/>
      <c r="S40" s="43" t="s"/>
      <c r="T40" s="43" t="s"/>
      <c r="U40" s="43" t="s"/>
      <c r="V40" s="43" t="s"/>
    </row>
    <row r="41" spans="1:22">
      <c r="A41" s="42" t="s">
        <v>272</v>
      </c>
      <c r="B41" s="43" t="s"/>
      <c r="C41" s="42" t="s">
        <v>117</v>
      </c>
      <c r="D41" s="42" t="s">
        <v>116</v>
      </c>
      <c r="E41" s="42" t="s">
        <v>118</v>
      </c>
      <c r="F41" s="42" t="s">
        <v>119</v>
      </c>
      <c r="G41" s="42" t="s">
        <v>19</v>
      </c>
      <c r="H41" s="329" t="s">
        <v>2535</v>
      </c>
      <c r="I41" s="42" t="s">
        <v>219</v>
      </c>
      <c r="J41" s="43" t="s"/>
      <c r="K41" s="42" t="s">
        <v>221</v>
      </c>
      <c r="L41" s="43" t="s"/>
      <c r="M41" s="43" t="s"/>
      <c r="N41" s="43" t="s"/>
      <c r="O41" s="43" t="s"/>
      <c r="P41" s="43" t="s"/>
      <c r="Q41" s="43" t="s"/>
      <c r="R41" s="43" t="s"/>
      <c r="S41" s="43" t="s"/>
      <c r="T41" s="43" t="s"/>
      <c r="U41" s="43" t="s"/>
      <c r="V41" s="43" t="s"/>
    </row>
    <row r="42" spans="1:22">
      <c r="A42" s="42" t="s">
        <v>272</v>
      </c>
      <c r="B42" s="43" t="s"/>
      <c r="C42" s="43" t="s"/>
      <c r="D42" s="42" t="s">
        <v>22</v>
      </c>
      <c r="E42" s="42" t="s">
        <v>23</v>
      </c>
      <c r="F42" s="42" t="s">
        <v>24</v>
      </c>
      <c r="G42" s="42" t="s">
        <v>19</v>
      </c>
      <c r="H42" s="329" t="s">
        <v>2535</v>
      </c>
      <c r="I42" s="42" t="s">
        <v>219</v>
      </c>
      <c r="J42" s="43" t="s"/>
      <c r="K42" s="42" t="s">
        <v>221</v>
      </c>
      <c r="L42" s="43" t="s"/>
      <c r="M42" s="43" t="s"/>
      <c r="N42" s="43" t="s"/>
      <c r="O42" s="43" t="s"/>
      <c r="P42" s="43" t="s"/>
      <c r="Q42" s="43" t="s"/>
      <c r="R42" s="43" t="s"/>
      <c r="S42" s="43" t="s"/>
      <c r="T42" s="43" t="s"/>
      <c r="U42" s="43" t="s"/>
      <c r="V42" s="43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2026-08-29T18:02:08Z</dcterms:created>
  <dcterms:modified xsi:type="dcterms:W3CDTF">2026-08-29T18:02:08Z</dcterms:modified>
</cp:coreProperties>
</file>